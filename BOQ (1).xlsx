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FATINA-WORK-NEW\FATINA WORK\י. ד. ברזאני בעמ-01\02-כביש 40 מחלף לוד-קלאוזנר\01-חישובי כמויות\"/>
    </mc:Choice>
  </mc:AlternateContent>
  <bookViews>
    <workbookView xWindow="-108" yWindow="-108" windowWidth="23256" windowHeight="12576"/>
  </bookViews>
  <sheets>
    <sheet name="Sheet1" sheetId="1" r:id="rId1"/>
  </sheets>
  <definedNames>
    <definedName name="_xlnm._FilterDatabase" localSheetId="0" hidden="1">Sheet1!$A$1:$V$365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2" i="1"/>
  <c r="V2" i="1"/>
  <c r="I365" i="1" l="1"/>
  <c r="I367" i="1"/>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2" i="1"/>
</calcChain>
</file>

<file path=xl/sharedStrings.xml><?xml version="1.0" encoding="utf-8"?>
<sst xmlns="http://schemas.openxmlformats.org/spreadsheetml/2006/main" count="1475" uniqueCount="786">
  <si>
    <t xml:space="preserve">Serial Number </t>
  </si>
  <si>
    <t>Structure</t>
  </si>
  <si>
    <t>Section Number</t>
  </si>
  <si>
    <t xml:space="preserve"> Description</t>
  </si>
  <si>
    <t>Unit</t>
  </si>
  <si>
    <t>Original Contract Quantity</t>
  </si>
  <si>
    <t>Price</t>
  </si>
  <si>
    <t>Total Contract Sum</t>
  </si>
  <si>
    <t xml:space="preserve">Estimated Quantity </t>
  </si>
  <si>
    <t>Quantity Submitted</t>
  </si>
  <si>
    <t>Internal Quantity</t>
  </si>
  <si>
    <t>Approved by Project Manager</t>
  </si>
  <si>
    <t>Total Estimate</t>
  </si>
  <si>
    <t>Total Submitted</t>
  </si>
  <si>
    <t>Internal Total</t>
  </si>
  <si>
    <t>Total Approved by Project Manager</t>
  </si>
  <si>
    <t>NOTES</t>
  </si>
  <si>
    <t>System</t>
  </si>
  <si>
    <t>בטון</t>
  </si>
  <si>
    <t>איטום</t>
  </si>
  <si>
    <t>כלונסאות</t>
  </si>
  <si>
    <t>גינון</t>
  </si>
  <si>
    <t>ריהוט</t>
  </si>
  <si>
    <t>ניקוז</t>
  </si>
  <si>
    <t>תאורה</t>
  </si>
  <si>
    <t>השקיה</t>
  </si>
  <si>
    <t>טון</t>
  </si>
  <si>
    <t>חודש</t>
  </si>
  <si>
    <t>מ"ר</t>
  </si>
  <si>
    <t>בטון רזה יצוק מתחת לאלמנטים מבניים</t>
  </si>
  <si>
    <t>מ"ק</t>
  </si>
  <si>
    <t>בסיסי בטון לעמודי תאורה מבטון ב40- בגדלים כלשהם, משולבים בתוך קירות</t>
  </si>
  <si>
    <t>יסודות עוברים ורגלי קירות תומכים מבטון ב40- בחתכים כלשהם.</t>
  </si>
  <si>
    <t>ראשי כלונסאות מבטון ב30- בחתכים כלשהם</t>
  </si>
  <si>
    <t>ראשי כלונסאות מבטון ב40- בחתכים כלשהם</t>
  </si>
  <si>
    <t>קירות ציפוי מבטון ב40- בעוביים כלשהם, יצוקות כנגד כלונסאות וביניהם (העובי לחישוב הינו אך ורק העובי התיאורטי המסומן בתוכניות מפני הקי ר    לפני מישור כלונסאות הדיפון, לא ישולם עבור הנפח שבין הכלונסאות) לרבות קידוח ועיגון הקוצים לכלונסאות.</t>
  </si>
  <si>
    <t>מרצפי בטון ומשטחי בטון ב40- בעוביים כלשהם</t>
  </si>
  <si>
    <t>קירות כנפיים מבטון ב40- בחתכים כלשהם.</t>
  </si>
  <si>
    <t>אלמנטי בטון שונים שאין להם ביטוי בסעיפי כתב הכמויות, מבטון ב30-.</t>
  </si>
  <si>
    <t>קירות תומכים מבטון ב40- בחתכים כלשהם.</t>
  </si>
  <si>
    <t>טבלת גישה מבטון ב40- בעובי כלשהו</t>
  </si>
  <si>
    <t>ווטות/תושבות מבטון ב40- במידות שונות עבור פלטות גישה.</t>
  </si>
  <si>
    <t>מרצפי בטון ב40- למעבירים תחתיים, בעוביים שונים</t>
  </si>
  <si>
    <t>קירות בטון ב40-  למעבירים תחתיים, בעוביים שונים</t>
  </si>
  <si>
    <t>תקרות בטון ב40- למעבירים תחתיים, בעוביים שונים</t>
  </si>
  <si>
    <t>מרצפי בטון ב30- של תעלות ניקוז, בעוביים שונים</t>
  </si>
  <si>
    <t>קירות בטון ב30- של תעלות ניקוז, בעוביים שונים</t>
  </si>
  <si>
    <t>תוספת מחיר עבור בטון ב30- במקום ב20-</t>
  </si>
  <si>
    <t>תוספת מחיר עבור בטון ב40- במקום ב30-</t>
  </si>
  <si>
    <t>קורות תחתונות (קורות שן) של מרצפי בטון בתעלות ניקוז מבטון ב40- בחתך כלשהו</t>
  </si>
  <si>
    <t>קורות עליונות (קורות מצח) של תקרות בטון בתעלות ניקוז מבטון ב40- בחתך כלשהו</t>
  </si>
  <si>
    <t>תוספת מחיר עבור גמר פני בטון חשוף חזותי בטפסות עץ ו/או פלדה.</t>
  </si>
  <si>
    <t>תוספת מחיר עבור גמר פני בטון חשוף חזותי בטפסות עשויות גומי, חומרים פולימרים או חומרים אחרים ובעלות מעטה צורני דמוי אבן חאמי או צורה אחרת על פי דרישות המתכנן.</t>
  </si>
  <si>
    <t>בטון בעל חוזק מבוקר נמוך (C.L.S.M)בחוזק -0.3 8 מגפ"ס</t>
  </si>
  <si>
    <t>מוטות פלדה מצולעים רתיכים מסוג פ- 500W לזיון בטון לפי ת"י 4466/חלק3, בכול הקטרים והאורכים</t>
  </si>
  <si>
    <t>נקזים בקירות בטון מצינור P.V.C בקוטר "4 ובאורך עד 0.5 מ'</t>
  </si>
  <si>
    <t>יחידה</t>
  </si>
  <si>
    <t>יריעות ניקוז דו שכבתיות בעובי כולל של 9 מ"מ מורכבות מיריעת פילטר P.P ויריעת אטימה
H.D.P.E&gt;(&lt;,&gt;)&lt;</t>
  </si>
  <si>
    <t>נקז אורכי כולל צינור שרשורי מחורר בקוטר 150 מ''מ &gt;(&lt;,&gt;)&lt;לרבות פילטר חצץ ועטיפה בבד גיאוטכני</t>
  </si>
  <si>
    <t>מטר</t>
  </si>
  <si>
    <t>תוספת מחיר לנקזים בקוטר "4 עבור כיס חצץ בגב הקיר</t>
  </si>
  <si>
    <t>נקז אורכי כולל צינור שרשורי מחורר בקוטר 100 מ''מ , לרבות פילטר חצץ ועטיפה בבד גיאוטכני</t>
  </si>
  <si>
    <t>מישקי התפשטות (מישקי הפרדה) לפי פרט סטנדרטי של נת"י כולל מכלול מוט מייתד מגולוון בקוטר ובאורך כלשהו מותקן בתוך צינור PVC בקוטר ובאורך כלשהו משוכן ביציקת הבטון וממולא גריז עבור תפרי התפשטות כולל לוחות  פוליסטרן מוקצף 20-P בעובי 2 ס''מ, פרופיל גיבוי וסתימת מישקים דו צדדית בחומר אלסטומרי מאושר.</t>
  </si>
  <si>
    <t>מוטות מייתדים כימיים לבטון בקוטר 25 מ''מ</t>
  </si>
  <si>
    <t>איטום פני הבטון של רכיבים הבאים במגע עם קרקע באמצעות ביטומן מנושף המיושם בחם המכונה ביטומן 40/50  - מריחת פריימר, שתי שכבות ביטומן כולל ארג לזיון הביטומן בעובי של  2.5 מ"מ (מינ' בנק' מדידה 2.0 מ"מ)</t>
  </si>
  <si>
    <t>איטום פני הבטון של רכיבים הבאים במגע עם קרקע באמצעות ביטומן מנושף המיושם בחם המכונה ביטומן 40/50 - מריחת פריימר, שתי שכבות ביטומן כולל ארג לזיון הביטומן בעובי של   3.0 מ"מ (מינ' בנק' מדידה 2.5 מ"מ)</t>
  </si>
  <si>
    <t>חפירה ו/או חציבת תעלה בעומק עד 120 ס"מ ברוחב עד 60 ס"מ</t>
  </si>
  <si>
    <t>חפירה ו/או חציבת תעלה בעומק עד 120 ס"מ ברוחב כנדרש 61 עד 80 ס"מ</t>
  </si>
  <si>
    <t>יציקת בטון ב20- נוסף להגנת צנרת מעל מכשול ו/או לכל מקום שיידרש לפי דרישת מנה''פ</t>
  </si>
  <si>
    <t>חציית משטח אספלט/בטונים ו/או פירוק ריצוף בשטח כבישים, מדרכות ו/או איי תנועה כולל אבני שפה מכל סוג,כולל חיתוך ושבירת אספלט/בטון קיים  לעומק עד 150 ס"מ</t>
  </si>
  <si>
    <t>תיקון משטח אספלט/בטונים ו/או ריצוף בשטח כבישים מדרכות ו/או איי תנועה החלפת החומר החפור בבטון C.L.S.M והחזרת המצב לקדמותו כולל ופינוי  עודפי חפירה</t>
  </si>
  <si>
    <t>תא בקרה לחשמל בקוטר 80 ס''מ ובעומק 1.75 מ' כמפורט במפרט הטכני</t>
  </si>
  <si>
    <t>תא בקרה לחשמל בקוטר 100 ס''מ ובעומק 1.75 מ' כמפורט במפרט הטכני</t>
  </si>
  <si>
    <t>תוספת מחיר לתא בקרה של טבעת בקוטר 80 ס''מ בגובה 50 ס''מ להעמקת התא, כולל תוספת שלבי טיפוס</t>
  </si>
  <si>
    <t>תוספת מחיר לתא בקרה של טבעת בקוטר 100 ס''מ בגובה 50 ס''מ להעמקת התא, כולל תוספת שלבי טיפוס</t>
  </si>
  <si>
    <t>משטח יצוק מבטון עם ברזלי זיון מסביב לשוחת ביקורת, במידות 200*200 ס"מ ובעובי 20 ס"מ כולל יישור השטח ומילוי שכבת מצע סוג א' מהודק בעוב י 20 ס"מ</t>
  </si>
  <si>
    <t>תכנון ביצוע יסוד לעמוד תאורה בגובה עד 7 מ'</t>
  </si>
  <si>
    <t>תכנון ביצוע יסוד לעמוד תאורה בגובה עד 12 מ'</t>
  </si>
  <si>
    <t>תכנון ביצוע יסוד לעמוד תאורה בגובה עד 15 מ'</t>
  </si>
  <si>
    <t>תכנון ביצוע יסוד לעמוד תאורה בגובה עד 18 מ'</t>
  </si>
  <si>
    <t>תכנון וביצוע יסוד בטון לעמוד מצלמה בגובה 21
מ'</t>
  </si>
  <si>
    <t>סט בירגי יסוד מגולוונים לעמוד פלדה בגובה עד 15 מ' המשולב בקיר בטון/גשר</t>
  </si>
  <si>
    <t>ארבעה בירגי יסוד לעמוד פלדה בגובה עד 15 מ' המיועד להתקנה על גבי מעקה ניו-ג'רסי, אורך הברגים לפי תכניות קונסטרוקטור לרבות ברגים כפולי ם באם יידרש כולל אינסרטים מקשרים ביניהם 12 אומים ו- 12 דיסקיות</t>
  </si>
  <si>
    <t>סט ברגי יסוד לעמוד פלדה עד 18 מטר גובה</t>
  </si>
  <si>
    <t>בירגי יסוד לעמוד מצלמה בגובה 21 מ בהתאם לפרט ובתאום עם מהנדס הקונסטרוקציה ויצרן עמוד מצלמה</t>
  </si>
  <si>
    <t>ארבעה בירגי יסוד לעמוד פלדה עד 7 מ (4 ברגים- יחידה)</t>
  </si>
  <si>
    <t>ארבעה בירגי יסוד לעמוד פלדה עד 12 מ (4 ברגים- יחידה)</t>
  </si>
  <si>
    <t>ארבעה בירגי יסוד לעמוד פלדה עד 15 מ</t>
  </si>
  <si>
    <t>צינור פלסטי שרשורי גמיש דו שכבתי בקוטר 50 מ"מ</t>
  </si>
  <si>
    <t>צינור פלסטי שרשורי גמיש דו שכבתי בקוטר 75 מ"מ</t>
  </si>
  <si>
    <t>צינור P.V.C קשיח בקוטר "4, דרג 12.5 עובי דופן 5.4 מ"מ</t>
  </si>
  <si>
    <t>צינור מפוליאתילן (H.D.P.E) בקוטר 75 מ"מ, יק"ע 13.5 לפי תקן בזק לתקשורת עם פסי סימון בצבע (אדום, ירוק, צהוב, כתום) לפי הדרישה</t>
  </si>
  <si>
    <t>כבל נחושת 3X2.5 N2XY  ממ''ר מושחל בתוך עמוד ובזרוע מגוף התאורה למגש האבטחה, כולל חיבורים חשמליים וכל חומרי העזר הנדרשים</t>
  </si>
  <si>
    <t>כבל נחושת מסוג N2XY בחתך 4X‏3 ממ"ר, כולל סופיות (מפצלת) מתכווצות עם 3 אצבעות לסגירת קצוות הכבל</t>
  </si>
  <si>
    <t>כבל אלומיניום מסוג 5X16 NA2XY ממ''ר</t>
  </si>
  <si>
    <t>כבל אלומיניום מסוג 5X25 NA2XY ממ''ר.</t>
  </si>
  <si>
    <t>כבל אלומיניום מסוג 5X35 NA2XY ממ''ר</t>
  </si>
  <si>
    <t>כבל אלומיניום מסוג 5X50 NA2XY ממ''ר</t>
  </si>
  <si>
    <t>מוליך הארקה מנחושת גלויה ושזורה בחתך 35 ממ''ר</t>
  </si>
  <si>
    <t>מתקן הארקת יסוד למעקה ניו-ג'רסי, או קיר בטון, או תעלת ניקוז מבטון, כולל יצירת רציפות חשמלית באמצעות ריתוכים של ברזלי זיון אופקיים וא נכיים בקוטר 12 מ"מ לפחות ובעזרת פס פלדה במידות 50X‏4 ממ"ר כמפורט במפרט הטכני</t>
  </si>
  <si>
    <t>אלקטרודת הארקה אנכית בקוטר 18.5 מ''מ ובאורך 3 מ', כולל כל האביזרים</t>
  </si>
  <si>
    <t>בריכת ביקורת לאלקטרודה אנכית, בקוטר 60 ס"מ ועומק 50 ס"מ, כולל מכסה מיציקת פלדה לעומס 12.5 טון עם סמל נתיבי ישראל וכיתוב בהטבעה לפי ס טנדרט נתיבי ישראל בהתאם למפרט</t>
  </si>
  <si>
    <t>עמוד מפלדה קוני בחתך עגול בגובה 12 מ' (גובה כולל הזרוע)</t>
  </si>
  <si>
    <t>עמוד מפלדה קוני בחתך עגול בגובה 15 מ' (גובה כולל הזרוע)</t>
  </si>
  <si>
    <t>עמוד מפלדה קוני בחתך עגול בגובה 18 מ' (גובה כולל הזרוע)</t>
  </si>
  <si>
    <t>עמוד תאורה בגובה 30 מ' מהדגם המאושר בנתיבי ישראל  קוני רב צלעות מפלדה מגולוונת עם כתר יורד ל- 8 עד 10 פנסים העמוד עם גו"ת וכל מרכיב יו  כולל את כל המערכות, הציוד והחומרים הדרושים להשלמת עמוד התאורה כנדרש במפרט   הכללי לרבות בירגי יסוד וכל הבדיקות והאישורים</t>
  </si>
  <si>
    <t>לוח חשמל להזנות עמוד תאורה בגובה 25-45 מטר בנוי מקופסאות CI להתקנה בחלל העמוד, כולל ציוד מותקן בקופסאות, אינטרלוק מכני וחשמלי, לרבות  פסי צבירה, מהדקים, וחיווט, שילוט פנימי וחיצוני וכל ציוד העזר הדרוש</t>
  </si>
  <si>
    <t>עמוד תאורה מפלדה בעל חתך רב צלעות (16 צלעות), מהדגם המאושר ע"י נתיבי ישראל בגובה 6.0 מ', לחיבור הזרוע בראשו</t>
  </si>
  <si>
    <t>זרוע יחידה קונית, באורך אופקי עד 1.5 מ' מותאמת לעמוד פלדה קוני</t>
  </si>
  <si>
    <t>זרוע יחידה קונית, באורך אופקי עד 3 מ' מותאמת לעמוד פלדה קוני</t>
  </si>
  <si>
    <t>זרוע כפולה קונית, באורך אופקי עד 1.5 מ' מותאמת לעמוד פלדה קוני</t>
  </si>
  <si>
    <t>זרוע כפולה קשתית באורך אופקי עד 3 מ', מותאמת לעמוד פלדה קוני 12 או 15 מ'</t>
  </si>
  <si>
    <t>מגש אביזרים מחומר פלסטי כבה מאליו עם מהדקים עד 35 ממ"ר לפנס אחד</t>
  </si>
  <si>
    <t>מגש אביזרים מחומר פלסטי כבה מאליו עם מהדקים עד 35 ממ"ר לשני פנסים</t>
  </si>
  <si>
    <t>גוף תאורת דרכים מבוסס LED דגם 15 ממשפחה מאושרת לשימוש בנתיבי ישראל בע"מ(,) שטף האור התחלתי בין 10,000 ל- 13,000 לומן, ירידת שטף האור  המותרת לאחר 36000 שעות בעירה של מכלול גוף התאורה עד %90 מערך התחלתי לפחות כול שקע NEMA</t>
  </si>
  <si>
    <t>גוף תאורת דרכים מבוסס LED דגם 40 ממשפחה מאושרת לשימוש בנתיבי ישראל (בע''מ) שטף האור התחלתי בין 18,100 ל- 22,000 לומן, ירידת שטף האור  המותרת לאחר36000 שעות בעירה של מכלול גוף התאורה עד %90 מערך התחלתי לפחות כולל שקע NEMA</t>
  </si>
  <si>
    <t>גוף תאורת דרכים מבוסס LED דגם 61 ממשפחה מאושרת לשימוש בנתיבי ישראל בע"מ (,) שטף האור התחלתי בין 32,100 ל- 37,000 לומן, ירידת שטף האו ר המותרת לאחר 36000 שעות בעירה של מכלול גוף התאורה עד %90 מערך התחלתי לפחות כולל שקע NEMA</t>
  </si>
  <si>
    <t>גוף תאורת דרכים מבוסס LED דגם 70 ממשפחה מאושרת לשימוש בנתיבי ישראל בע"מ, שטף אור התחלתי בין 37,100 ל42,000- לומן, רידת שטף האור המות רת לאחר 36,000 שעות בעירה של מכלול גוף התאורה עד %90 מערך התחלתי לפחות כולל שקע NEMA</t>
  </si>
  <si>
    <t>גוף תאורת דרכים מבוסס LED  לעמודים גבוהים היי מסט (H.M) דגם LED‏100 ממשפחה מאושרת לשימוש בנתיבי ישראל בע"מ, שטף אור התחלתי בין 80,000  ל100- ,000 לומן. כול שקע NEMA</t>
  </si>
  <si>
    <t>קופסאות מעבר וביקורת מפוליאסטר משוריין במידות 10X10X‏10ס"מ מיועדות להתקנה שקועה ו/או גלויה, כולל מהדקי  " SOGEXI " מסוג BC‏3 וכל האביז רים להתקנה מושלמת, מכסים הקופסאות יסגרו באמצעות ברגים ולא בלחיצה.  המחיר כולל אטמי אנטיגרון ו/או אביזרי התחברות לצנרת</t>
  </si>
  <si>
    <t>אספקה, התקנה, חיבור (לרבות חיבור למקור ההזנה), הפעלה ואחזקת תאורה זמנית על עמודי עץ, תשלום השימוש עבור שדה / לילה קומפלט (הציוד בבעלות הקבלן)</t>
  </si>
  <si>
    <t>פרוק שדה תאורה זמנית והעברתו לקטע אחר. המדידה לפי שדה</t>
  </si>
  <si>
    <t>פרוק שדה תאורה זמנית וסילוקו מאתר העבודה, בחזרה למחסני הקבלן. המדידה לפי שדה</t>
  </si>
  <si>
    <t>בדיקת המתקן החשמלי לתאורה זמנית על ידי מהנדס חשמל בודק מוסמך לרבות מסירת תעודת רישום ובדיקה של המתקן עם תוצאות הבדיקה ואישור לחיבור המתקן למתח</t>
  </si>
  <si>
    <t>יסוד בטון מזויין ב- 30 לתא מנייה ח"ח (עשוי ארון פח), כולל צנרת בקוטר 100 מ"מ ביסוד,  (במקרה של יסוד בטון משותף למרכזיה ולתא המנייה ל א יהיה כל שינוי במחירי היסודות)</t>
  </si>
  <si>
    <t>יסוד בטון מזויין ב- 30 למרכזיה למאור</t>
  </si>
  <si>
    <t>מרכזיה למאור 3X100A, עשויה ארונות אטומים מפוליאסטר משוריין, כולל לוח החשמל בנוי מקופסאות CI, כולל ציוד והאביזרים בהתאם לתכניות</t>
  </si>
  <si>
    <t>ארון למפסק ראשי להזנה לארון חלוקה למעבר תת''ק להארקת חוץ מפוליאסטר משוריין IP‏65 במידות 200 400X300X מ''מ</t>
  </si>
  <si>
    <t>גומחת בטון מזויין ב30- לפילר מונים ח"ח עבור חיבור 3X100A במידות : רוחב פנים 80 ס"מ, גובה 200 ס"מ עומק 40 ס"מ כולל הצבה וביסוס בהתאם לתוכניות ובתאום עם ח"ח ובאישור מנה"פ</t>
  </si>
  <si>
    <t>מא''ז חד קוטבי עם ניתוק אפס  לזרם נומינלי של 10A+N מאושר עם אופיין ניתוק C לזרם קצר של 15 ק"א</t>
  </si>
  <si>
    <t>טיפול של הקבלן מול ח"ח לביצוע חיבור חדש או הגדלת חיבור קיים ע"י חברת החשמל למתקן חשמל לתאורה,כולל תשלום עבור הבדיקות</t>
  </si>
  <si>
    <t>בדיקת המתקן החשמלי על ידי מהנדס חשמל בודק מוסמך</t>
  </si>
  <si>
    <t>פירוק מרכזיה למאור קיימת כולל פירוקים, ניתוקים וכל העבודות הנלוות כמפורט במפרט הטכני</t>
  </si>
  <si>
    <t>פרוק עמוד תאורה קיים מפלדה בגובה עד 18 מ', כולל זרועות, פנסים וכל מרכיביו, כולל פירוק חיבורי חשמל וכבל ההזנה ובידודם, והעברתו למקום  שיורה מנה''פ</t>
  </si>
  <si>
    <t>פרוק יסוד בטון של עמוד קיים, הוצאתו והעברתו לאתר איסוף פסולת</t>
  </si>
  <si>
    <t>זרוע כפולה קשתית באורך אופקי עד 3.5מ',מותאמת לעמוד פלדה קוני</t>
  </si>
  <si>
    <t>ארבעה בירגי יסוד לעמוד פלדה בגובה 18מ'המיועד להתקנה על גבי מעקהניו-ג'רסי/     &gt;(&lt;,&gt;)&lt;STEPאורך הברגים לפי תכניות קונסטרוקטור לרבות ברגים כפולי ם באם יידרש     כולל אינסרטים מקשרים ביניהם  12 אומים ו- 12 דיסקיות</t>
  </si>
  <si>
    <t>התאמת פלטת עמוד HM ליסוד קיים בתאום ובאישור קונסטרוקטור ויצרן העמוד</t>
  </si>
  <si>
    <t>גוף תאורת דרכים מבוסס LEDדגם 71ממשפחה מאושרת לשימוש בנתיבי ישראל  בע'מ, שטף אור התחלתי בין 42,100 ל- 47,000 לומן, רידת שטף האור המות רת לאחר 36,000 שעות בעירה של מכלול גוף התאורה עד % 90 מערך התחלתי לפחות כולל שקע NEMA</t>
  </si>
  <si>
    <t>יסוד בטון לעמוד תאורה 12מ' גובה המשולב במעקה 'ניו-גרסי'/ STEPו/או על קיר תומך</t>
  </si>
  <si>
    <t>יסוד בטון לעמוד תאורה 15מ' גובה המשולב במעקה 'ניו-גרסי'/ STEPו/או על קיר תומך</t>
  </si>
  <si>
    <t>יסוד בטון לעמוד תאורה 18מ' גובה המשולב במעקה 'ניו-גרסי'/ STEPו/או על קיר תומך</t>
  </si>
  <si>
    <t>גשרי שילוט</t>
  </si>
  <si>
    <t>בורגי-עיגון מגולוונים מבוטנים בראשי כלונסאות או בעמודי-יסוד לגשרי שילוט.</t>
  </si>
  <si>
    <t>ק"ג</t>
  </si>
  <si>
    <t>עמודים טרומיים של גשר זיזי מבטון מזוין ב50- בחתכים  שונים ומשתנים ובגבהים שונים, עם שני זיזים בחתכים משתנים בראש העמוד, כולל טבלת-  עיגון ומחבר מפחי-פלדה בתחתית העמוד , גמר פני בטון חשוף חזותי.</t>
  </si>
  <si>
    <t>עמודים טרומיים של גשר מסגרת מבטון מזוין ב50- בחתכים  שונים ומשתנים ובגבהים שונים, עם שני זיזים בחתכים משתנים בראש העמוד, כולל טבלת-   עיגון ומחבר מפחי-פלדה בתחתית העמוד , גמר פני בטון חשוף חזותי.</t>
  </si>
  <si>
    <t>סולמות עלייה לגשרי שילוט מחוברים לעמודים טרומיים</t>
  </si>
  <si>
    <t>גשרי שילוט מפלדה.</t>
  </si>
  <si>
    <t>מסגרות מפלדה לשלטים.</t>
  </si>
  <si>
    <t>מכלול ברגי עיגון לעמודי תאורה מותקנים בתחום ההגבהות שפות המסעה ו/או בראש הקירות התומכים.</t>
  </si>
  <si>
    <t>כלונס אנכי יצוק באתר מבטון ב40- בקוטר 100 ס''מ</t>
  </si>
  <si>
    <t>כלונס אנכי יצוק באתר מבטון ב40-  עם שימוש בתרחיף בנטונייט בקוטר 60 ס''מ</t>
  </si>
  <si>
    <t>כלונס אנכי יצוק באתר מבטון ב40-  עם שימוש בתרחיף בנטונייט בקוטר 80 ס''מ</t>
  </si>
  <si>
    <t>כלונס אנכי יצוק באתר מבטון ב40- עם שימוש בתרחיף בנטונייט בקוטר 100 ס"מ</t>
  </si>
  <si>
    <t>כלונס אנכי יצוק באתר מבטון ב40- עם שימוש בתרחיף בנטונייט בקוטר 110 ס''מ</t>
  </si>
  <si>
    <t>צינור בדיקה מפלדה בקוטר ''2.5</t>
  </si>
  <si>
    <t>חיפוי אדמה בעובי 30 ס"מ מחישוף עליון או/ו אדמת עומק</t>
  </si>
  <si>
    <t>חיפוי מדרונות באדמה מיובאת</t>
  </si>
  <si>
    <t>מסלעה משופעת.</t>
  </si>
  <si>
    <t>אשפתון ממתכת</t>
  </si>
  <si>
    <t>ספסל מעץ ומתכת, רגלי הספסל ומסעד היד יצוקים מברזל דוקטייל איכותי,  במידות 176/63 ס"מ גובה כולל משענת 77 ס"מ</t>
  </si>
  <si>
    <t xml:space="preserve">ייצור, אספקה והתקנת סככת המתנה לתחנת אוטובוס דגם מת"ח - 2018. סככה מיועדת למרחב הבינעירוני. המחיר כולל פירוק ופינוי של הסככה הישנה למקום אשר ידרש הקבלן, לוגו חברת נתיבי ישראל, שעון אסטרונומי, הקמת תשתית כולל כל הרכיבים הנדרשים לחיבור לרשת חח"י/מאור למרחק עד 10 מ'.     </t>
  </si>
  <si>
    <t>ייצור, אספקה והתקנת סככת המתנה לתחנת אוטובוס דגם מהיר לעיר, סככה 8 מטר קומפלט. המחיר כולל פירוק ופינוי של הסככה הישנה למקום אשר ידרש הקבלן, לוגו חברת נתיבי ישראל, הקמת תשתית כולל כל הרכיבים הנדרשים לחיווט וחיבור למערכות תקשורת ולרשת חח"י/מאור למרחק עד 10 מ'.. (היחידה לא כוללת שלט דיגיטלי משולב)</t>
  </si>
  <si>
    <t>הכשרת קרקע לגינון-עיבוד קרקע</t>
  </si>
  <si>
    <t>ריסוס והדברה בשטחי גינון וריצופים</t>
  </si>
  <si>
    <t>זיבול בזבל אורגני או בקומפוסט</t>
  </si>
  <si>
    <t>זיבול קומפוסט שעבר תהליך קומפוזיטציה בבורות לעצים</t>
  </si>
  <si>
    <t>צינור פוליאתילן 63 מ''מ דרג 10   (כולל חפירה)</t>
  </si>
  <si>
    <t>צינור פוליאתילן 50 מ''מ דרג 10   (כולל חפירה)</t>
  </si>
  <si>
    <t>צינור פוליאתילן 40 מ"מ דרג 10 (כולל חפירה)</t>
  </si>
  <si>
    <t>צינור פוליאתילן 32 מ"מ דרג 10 (כולל חפירה)</t>
  </si>
  <si>
    <t>צינור טפטוף מווסת 16 מ''מ בספיקה של 1.6 ל/ש מרווח כל 0.5 מ'</t>
  </si>
  <si>
    <t>ארגזי הגנה מחומר טרמופלסטי ממוחזר בגודל 120/145/60 ס''מ</t>
  </si>
  <si>
    <t>גומחה לארון ראש מערכת מבטון טרומי, כולל עיגון לפי הנחיות היצרן.</t>
  </si>
  <si>
    <t>ראש מערכת סטנדרט '' 2 לטפטוף</t>
  </si>
  <si>
    <t>מגוף ברונזה לגינון ''1.5 + אנטי ואקום</t>
  </si>
  <si>
    <t>מגוף ברונזה לגינון ''2 + אנטי ואקום</t>
  </si>
  <si>
    <t>פרט השקית עץ</t>
  </si>
  <si>
    <t>פרט ברכות ניקוז לשלוחות טפטוף (ברז שטיפה)</t>
  </si>
  <si>
    <t>פרט התחברות למקור מים ''2</t>
  </si>
  <si>
    <t>מחשב ''בקרת השקייה אלחוטית כפולה'' עד 500 ברזים</t>
  </si>
  <si>
    <t>הכנה לראש השקייה, לרבות זקף בקוטר " 2, קשתות 90  מעלות ,הברגה ופקק הברגה.</t>
  </si>
  <si>
    <t>פקעות ובצלים מכל סוג שהוא</t>
  </si>
  <si>
    <t>זריעה ידנית</t>
  </si>
  <si>
    <t>צמח במיכל 6 ליטר</t>
  </si>
  <si>
    <t>עץ בוגר, גזע בקוטר מינימום 20 ס"מ ובגובה 300 ס"מ לפחות</t>
  </si>
  <si>
    <t>שרוול הגנה לעצים ממיכל 1 ליטר</t>
  </si>
  <si>
    <t>גיזום עצים שלא מיועדים להעתקה (המחיר מתייחס לגיזום עץ קומפלט)</t>
  </si>
  <si>
    <t>מגביל שורשים לעץ</t>
  </si>
  <si>
    <t>שלט אזהרה - לא לשתות ממי ההשקיה</t>
  </si>
  <si>
    <t>שרוול מצינור פוליאתילן 110 מ''מ דרג 10</t>
  </si>
  <si>
    <t>צינור פי.וי.סי "4 דרג  12.5</t>
  </si>
  <si>
    <t>טיפול להדברה של צמחים פולשים מעוצים מכל סוג שהוא בצפיפות של עד 3מ' בין העצים , בשיטה של חתך והזרקה או חריטה ומריחה ע"פ הנחיית גורם מוסמך.</t>
  </si>
  <si>
    <t>ריסוק  וסילוק לאתר מורשה / הטמנה באתר של עצים פולשים שהודברו בטיפול ראשון וחוזר. בתאום עם מפקח</t>
  </si>
  <si>
    <t>פירוקים</t>
  </si>
  <si>
    <t>פירוק אספלט, בעובי עד 15 ס''מ.</t>
  </si>
  <si>
    <t>פירוק אספלט, בעובי 30.0-15.1 ס''מ.</t>
  </si>
  <si>
    <t>ניסור זהיר של מיסעת אספלט בעובי כלשהו ליצירת אזורי עבודה</t>
  </si>
  <si>
    <t>פירוק מדרכת אספלט .</t>
  </si>
  <si>
    <t>פירוק מדרכות מרוצפות מכל סוג</t>
  </si>
  <si>
    <t>פירוק אבני שפה מכל סוג.</t>
  </si>
  <si>
    <t>פירוק שוחות/תאי ביקורת למים ולחשמל במידות שונות ומכל סוג.</t>
  </si>
  <si>
    <t>פירוק שוחות/תאי ביקורת לניקוז במידות שונות ומכל סוג, לרבות מילוי ב- CLSM</t>
  </si>
  <si>
    <t>פירוק שוחות/תאי ביקורת לביוב במידות שונות ומכל סוג.</t>
  </si>
  <si>
    <t>פירוק תא תקשורת במידות שונות ומכל סוג</t>
  </si>
  <si>
    <t>פירוק זהיר של מכסה שוחה כלשהי</t>
  </si>
  <si>
    <t>פירוק קירות מבטון מזויין בכל סוג ובכל עובי.</t>
  </si>
  <si>
    <t>פירוק זהיר של קירות אבן מכל סוג ובכל עובי</t>
  </si>
  <si>
    <t>גיזום ענפים בעצים המיועדים לשימור  הכולל הרמת נוף ומריחה במשחה מסוג Bylaton או Balzam Lake או שו"ע מאושר. המריחה על החתכים בקוטר 5 ס"מ ומעלה.</t>
  </si>
  <si>
    <t>העתקת עץ בוגר מגודל 2 (קוטר הגזע 30 ס"מ ומעלה בגובה 1.3 מטר וגובה העץ 3.5 מטר לפחות, לאחר גיזום) למקום חלופי ברשות המקומית. ע"פ מפרט מיוחד.</t>
  </si>
  <si>
    <t>התאמת שוחות/תאי ביקורת של ''בזק'' ללא פירוק תקרה.</t>
  </si>
  <si>
    <t>התאמת תאי ביקורת מכל סוג כולל פירוק תקרה.</t>
  </si>
  <si>
    <t>התאמת קולטן תא יחיד.</t>
  </si>
  <si>
    <t>ביטול קולטנים, 1 עד 3 תאים.</t>
  </si>
  <si>
    <t>סתימת קו ביוב בקוטר  מ-''10 עד ''16 על ידי מילוי הקו ב-C.L.S.M</t>
  </si>
  <si>
    <t>סתימת קו ביוב בקוטר  מ-''18 עד ''24 על ידי מילוי הקו ב-C.L.S.M</t>
  </si>
  <si>
    <t>פירוק זהיר של צנרת מים או ביוב מסוג כלשהו בקוטר מ-''3.1 עד ''8 ובעומק כלשהו.</t>
  </si>
  <si>
    <t>פירוק זהיר של צנרת מים או ביוב מסוג כלשהו בקוטר מ-''8.1 עד ''12 ובעומק כלשהו.</t>
  </si>
  <si>
    <t>פירוק זהיר של צינור ניקוז מבטון או פי.וי.סי. בקוטר מ- 81 ס''מ ועד 120 ס''מ ובעומק כלשהו.</t>
  </si>
  <si>
    <t>פירוק צינור ניקוז מבטון או פי.וי.סי בקוטר עד 80 ס''מ ובעומק כלשהו.</t>
  </si>
  <si>
    <t>פירוק גדר רשת מכל סוג.</t>
  </si>
  <si>
    <t>פירוק זהיר של גדר רשת מרכיבים מוסגרים של רשתות פלדה מרותכות מכל סוג.</t>
  </si>
  <si>
    <t>פירוק מעקות בטיחות מפלדה מטיפוס כלשהו.</t>
  </si>
  <si>
    <t>פירוק מעקות בטיחות טרומיים מבטון מטיפוס כלשהו.</t>
  </si>
  <si>
    <t>פירוק והעתקת עמוד מכל סוג</t>
  </si>
  <si>
    <t>פירוק והתקנה מחדש של עמודי תחום שבת</t>
  </si>
  <si>
    <t>ניקוי שוחות/תאי ביקורת מכל סוג מפסולת וסחף</t>
  </si>
  <si>
    <t>סילוק פסולת/ערמות פסולת לאתר שפך מאושר/מטמנה , לרבות תשלום כול האגרות למיניהם.</t>
  </si>
  <si>
    <t>הסרת צמחיה וניקוי השטח</t>
  </si>
  <si>
    <t>חישוף השטח ועירום זמני</t>
  </si>
  <si>
    <t>חישוף השטח וסילוקו</t>
  </si>
  <si>
    <t>חישוף שטח כולל עקירת עצים מכל סוג שהם, גריסתם ופינוי פסולת לאתר מורשה כולל אגרה.</t>
  </si>
  <si>
    <t>חישוף קרקע בשטח צמחיה פולשנית לעומק של עד מטר כולל פינוי לאתר מאושר</t>
  </si>
  <si>
    <t>ריסוס והדברה בשטחי סלילה</t>
  </si>
  <si>
    <t>פירוק משטחי בטון מזויין בעוביים שונים.</t>
  </si>
  <si>
    <t>פירוק משטחי כוורת קיימת בכל עובי שהוא במילוי בטון</t>
  </si>
  <si>
    <t>פירוק משטחי ריפ ראפ ורשתות  מרחביות</t>
  </si>
  <si>
    <t>פירוק גשר שילוט זיזי מכל סוג כולל יסוד</t>
  </si>
  <si>
    <t>פירוק זהיר של גשר שילוט מכל סוג על 2 עמודים כולל יסודות</t>
  </si>
  <si>
    <t>פירוק מעקה בטיחות מכל סוג שהוא, מבטון מזוין.</t>
  </si>
  <si>
    <t>חציבת כלונסאות קיימים בכל קוטר שהוא</t>
  </si>
  <si>
    <t>הריסת מתקן ניקוז שוליים</t>
  </si>
  <si>
    <t>הריסת מתקן כניסה למעביר מים (1 קומפ' מתייחס לאלמנט כניסה ומוצא של המעביר)</t>
  </si>
  <si>
    <t>פירוק והריסת אלמנטים שונים מבטון מזוין כולל ניסור</t>
  </si>
  <si>
    <t>פירוק והריסת אלמנטים שונים מבטון מזוין</t>
  </si>
  <si>
    <t>ניסור רכיבי בטון כלשהם עד עובי 40 ס"מ</t>
  </si>
  <si>
    <t>פירוק שער לרכב מכל סוג שהוא</t>
  </si>
  <si>
    <t>חפירות גישוש לאיתור תשתיות תת קרקעיות בעומק כלשהו</t>
  </si>
  <si>
    <t>גילוי וסימון תשתיות באמצעות מכשיר גילוי אלקטרו מגנטי</t>
  </si>
  <si>
    <t>פירוק מבנה תחנת אוטובוס ו/או טרמפיאדה</t>
  </si>
  <si>
    <t>פירוק והעתקת מיכל אשפה</t>
  </si>
  <si>
    <t>פירוק זהיר והעתקת עמוד פירסומת בגובה 8-10
מ'</t>
  </si>
  <si>
    <t>פירוק שלט/תמרור עם עמוד אחד</t>
  </si>
  <si>
    <t>פירוק זהיר שלט/תמרור עם שני עמודים.</t>
  </si>
  <si>
    <t>פירוק שלט/תמרור עם שני עמודים, הובלתו לאתר שייקבע לפי הנחיות מנהל הפרויקט והחזרת השטח לקדמותו (כולל עמודים)</t>
  </si>
  <si>
    <t>פירוק שלט/תמרור עם שלושה עמודים, הובלתו לאתר שייקבע לפי הנחיות מנהל הפרויקט והחזרת השטח לקדמותו (כולל עמודים)</t>
  </si>
  <si>
    <t>העתקת שלט פרסום  קיים בכול גודל בתיאום עם בעל השלט והרשות המקומית,  לרבות תכנון וביצוע יסוד חדש והריסת היסוד הקיים.</t>
  </si>
  <si>
    <t>עבודות עפר</t>
  </si>
  <si>
    <t>חפירה לאורך הדרך וסילוק העפר.</t>
  </si>
  <si>
    <t>תוספת למחיר החפירה לאורך הדרך עבור חפירת תעלות</t>
  </si>
  <si>
    <t>הידוק קרקע יסוד מקורית</t>
  </si>
  <si>
    <t>שברי אבן (''בקלש'').</t>
  </si>
  <si>
    <t>הידוק מבוקר</t>
  </si>
  <si>
    <t>מילוי בשכבת חומר דק בעובי משתנה מעל יריעות איטום לצורך הגנה , תוכנות המילוי יתאימו להגדרת חומר המילוי יהודק בשכבות של 10 ס"מ באמצעות מכבש קל.</t>
  </si>
  <si>
    <t>חול מיוצב בצמנט בתוספת % 8 צמנט כמפורט במפרט המיוחד</t>
  </si>
  <si>
    <t>חפירה למבנים/מעברים תחתיים</t>
  </si>
  <si>
    <t>הכנת תחתית החפירה למבנים/מעברים תחתיים והידוקה</t>
  </si>
  <si>
    <t>מילוי מובא למבנים/מעברים תחתיים  (חומר א)</t>
  </si>
  <si>
    <t>מילוי מובא למבנים/מעברים תחתיים  (חומר ב)</t>
  </si>
  <si>
    <t>שתית (צורת דרך) לדרכים חקלאיות</t>
  </si>
  <si>
    <t>מילוי מחומר אינרטי אטום בהתאם למפרט המיוחד</t>
  </si>
  <si>
    <t>מצע סוג א'</t>
  </si>
  <si>
    <t>מצע סוג ב'.</t>
  </si>
  <si>
    <t>מצע סוג ג' מילוי נברר</t>
  </si>
  <si>
    <t xml:space="preserve">השלמת מצע "א" בשולים בעובי מעל 12 ועד 20 ס"מ . העבודה כוללת חרישת שכבה קיימת  , הספקת מצע , ערבוב החומר , הרטבה והידוק .    </t>
  </si>
  <si>
    <t>אספלט</t>
  </si>
  <si>
    <t>תא''צ 37.5 בעובי 8 ס''מ עם אגרגט גס גירי/דולומיטי סוג ב' וביטומן PG‏68-10</t>
  </si>
  <si>
    <t>תא''צ 37.5 בעובי 9 ס''מ עם אגרגט גס גירי/דולומיטי סוג ב' וביטומן PG‏68-10</t>
  </si>
  <si>
    <t>תא''צ 37.5 בעובי 10 ס''מ עם אגרגט גס גירי/דולומיטי סוג ב' וביטומן PG‏68-10</t>
  </si>
  <si>
    <t>תא''צ 25 בעובי 5 ס''מ עם אגרגט גס גירי/דולומיטי סוג א' וביטומן  PG‏68-10</t>
  </si>
  <si>
    <t>תא''צ 25 בעובי 6 ס''מ עם אגרגט גס גירי/דולומיטי סוג א' וביטומן  PG‏68-10</t>
  </si>
  <si>
    <t>תא''צ 25 בעובי 7 ס''מ עם אגרגט גס גירי/דולומיטי סוג א' וביטומן PG‏68-10</t>
  </si>
  <si>
    <t>תא''צ 25 בעוביים שונים עם אגרגט גס גירי/דולומיטי סוג א' וביטומן PG‏68-10</t>
  </si>
  <si>
    <t>תא''צ 19 בעובי 5 ס''מ עם אגרגט גס גירי/דולומיטי סוג א' וביטומן  PG‏70-10</t>
  </si>
  <si>
    <t>תא''צ 19 בעוביים שונים עם אגרגט גס גירי/דולומיטי סוג א' וביטומן  PG‏68-10</t>
  </si>
  <si>
    <t>תא''צ 12.5 בעובי 4 ס''מ עם אגרגט גס גירי/דולומיטי סוג א' וביטומן PG‏68-10</t>
  </si>
  <si>
    <t>תאמ"א 12.5 (S.M.A) בעובי 4 ס"מ, עם אגראגט גס בזלתי סוג א' וביטומן PG‏70-10.</t>
  </si>
  <si>
    <t>תאמ"א 12.5 ש' (S.M.A) בעובי 4 ס"מ  עם אגראגט גס בזלתי סוג א' וביטומן PG‏76-10.</t>
  </si>
  <si>
    <t>ריסוס ציפוי מאחה בכמות של 0.5-0.25 ק''ג/מ''ר.</t>
  </si>
  <si>
    <t>ריסוס ציפוי יסוד בכמות של 1.2-0.8 ק''ג/מ''ר.</t>
  </si>
  <si>
    <t>ריסוס ציפוי יסוד בכמות של 2.0 ק''ג/מ''ר לייצוב חומר מקורצף</t>
  </si>
  <si>
    <t>ניסור ו/או חיתוך צידי רצועת סלילה או קידמת הרצועה , ברוחב כ10- ס''מ לצורך התחברות.</t>
  </si>
  <si>
    <t>קרצוף</t>
  </si>
  <si>
    <t>קרצוף אספלט לעומק עד 2.0 ס''מ.</t>
  </si>
  <si>
    <t>קרצוף אספלט לעומק 2.1 - 4.0 ס''מ .</t>
  </si>
  <si>
    <t>קרצוף אספלט לעומק 4.1 - 8.0 ס"מ .</t>
  </si>
  <si>
    <t>קרצוף אספלט לעומק 8.1 - 10.0 ס"מ</t>
  </si>
  <si>
    <t>קרצוף אספלט לעומק 10.1 - 12.0ס"מ</t>
  </si>
  <si>
    <t>קרצוף אספלט לעומק 12.1 - 15.0ס"מ</t>
  </si>
  <si>
    <t>קרצוף אספלט לעומק 15.1 - 20.0 ס''מ</t>
  </si>
  <si>
    <t>קרצוף אספלט לעומק 20.1 - 30.0 ס''מ</t>
  </si>
  <si>
    <t>קרצוף אספלט לעומק 30.1 - 40.0 ס''מ</t>
  </si>
  <si>
    <t>קרצוף עדין של אספלט</t>
  </si>
  <si>
    <t>קיזוז ממחיר הקירצוף עבור העברת החומר המקורצף לרשות הקבלן</t>
  </si>
  <si>
    <t>צינורות ניקוז מבטון מזוין דרג 5 אטומים למים בעלי תו תקן ת''י 27  בקוטר 40 ס''מ בעומק עד
2.0 מ'.</t>
  </si>
  <si>
    <t>צינורות ניקוז מבטון מזוין דרג 5 אטומים למים בעלי תו תקן ת''י 27  בקוטר 50 ס''מ  בעומק מעל 2.01 מ' ועד 3.0 מ'.</t>
  </si>
  <si>
    <t>צינורות ניקוז מבטון מזוין דרג 5 אטומים למים בעלי תו תקן ת''י 27  בקוטר 60 ס''מ בעומק עד
2.0 מ'.</t>
  </si>
  <si>
    <t>צינורות ניקוז מבטון מזוין דרג 5 אטומים למים בעלי תו תקן ת''י 27 בקוטר 80 ס''מ בעומק מעל 2.01 מ' ועד 3.0 מ'.</t>
  </si>
  <si>
    <t>צינורות ניקוז מבטון דרג 5 אטומים למים בעלי תו תקן ת''י 27 בקוטר 100 ס''מ בעומק מעל 3.01 מ' ועד 4.0 מ'.</t>
  </si>
  <si>
    <t>צינורות ניקוז מבטון דרג 5 אטומים למים בעלי תו תקן ת''י 27 בקוטר 150 ס''מ בעומק מעל 2.01 מ' ועד 3.0 מ'.</t>
  </si>
  <si>
    <t>תוספת לשימוש בתערובת CLSM עם חוזק של -3 8 מגפ"ס במקום חול מצומנט %8 עבור עטיפת צינורות ניקוז מבטון מזוין.</t>
  </si>
  <si>
    <t>חיבור קו ניקוז מבטון/פלדה בקוטר 40 ס''מ לתא/שוחת-ביקורת קיים/מתוכנן או לקולטן</t>
  </si>
  <si>
    <t>מכלול</t>
  </si>
  <si>
    <t xml:space="preserve">תא בקרה מלבני במידות 100X‏120 ס''מ ובעומק מעל 1.51 מ' ועד 2.5 מ', כולל מכסה יצקת ברזל/ברזל בטון בקוטר 60 ס''מ, מסוג 400-D.     </t>
  </si>
  <si>
    <t xml:space="preserve">תא בקרה מלבני במידות 140X‏120 ס''מ ובעומק מעל 3.51 מ' ועד 4.5 מ', כולל מכסה יצקת ברזל/ברזל בטון בקוטר 60 ס''מ, מסוג 400-D.     </t>
  </si>
  <si>
    <t xml:space="preserve">תא בקרה מלבני במידות 150X‏150 ס''מ ובעומק עד 2.5 מ', כולל מכסה יצקת ברזל/ברזל בטון בקוטר 60 ס''מ, מסוג 400-D. </t>
  </si>
  <si>
    <t>תא בקרה עגול בקוטר 125 ס"מ ובעומק מעל 1.51 מ' ועד 2.5 מ', כולל תקרה, עיבודים ומכסה יצקת ברזל/ברזל בטון בקוטר 60 ס"מ, מסוג 400-D.</t>
  </si>
  <si>
    <t xml:space="preserve">תא קליטה צידי מרכיבי בטון טרומיים/מבטון יצוק באתר במידות 45X‏80 או 37X‏76 ס''מ עם רשת מלבנית מיצקת ברזל ללא אבן צד, בעומק עד 1 מ', </t>
  </si>
  <si>
    <t>תא קליטה ראשי מרכיבי בטון טרומיים/מבטון יצוק באתר במידות 4580x  או 4878X ס''מ עם רשת מלבנית מיצקת ברזל ואבן צד בעומק מעל 1.01 מ'    ועד 2 מ'</t>
  </si>
  <si>
    <t xml:space="preserve">תא ניקוז משולב מרכיבי בטון טרומיים/מבטון יצוק באתר במידות 100X‏120 ס''מ  עם רשת מלבנית מיצקת ברזל ואבן צד, בעומק עד 2 מ'  </t>
  </si>
  <si>
    <t>נקז מחורץ  טרומי מבטון מזויין עם שיפוע עליון דו צדדי, בחתך פנים אליפטי  במידות 32 ×‏ 52 ס''מ כולל אבן שפה.</t>
  </si>
  <si>
    <t>קולטן המתאים לחיבור קטעי נקזים מחורצים</t>
  </si>
  <si>
    <t>צילום קו ניקוז בקטרים שונים ס''מ במצלמת וידאו והפקת דו''ח + CD</t>
  </si>
  <si>
    <t>מניעת סחף</t>
  </si>
  <si>
    <t>מגלש לניקוז שוליים מבטון מזוין מסוג ב30- יצוק באתר בעובי כלשהו</t>
  </si>
  <si>
    <t>קורות שן מבטון מזוין ב30- במידות שונות (חתך מזערי 20/40 ס''מ)</t>
  </si>
  <si>
    <t>תערובת אבנים בגודל 3-15 ס"מ, דרישות המינימום לגבי האבנים הן: אבן קשה, הומוגנית, ללא סדקים ובקיעים.  על האבנים להיות נקיות מחומרים אורגניים ו/או עפר</t>
  </si>
  <si>
    <t>אבנים בגודל מ 40- עד 60 ס"מ במשקל של 0.3 - 0.2 טון</t>
  </si>
  <si>
    <t>ייצוב קרקע באמצעות תמיסה פולימרית.</t>
  </si>
  <si>
    <t>רשת פלדה מרחבית בגובה 8 ס''מ עם מילוי בטון יצוק באתר מסוג ב20- בעובי 12 ס''מ</t>
  </si>
  <si>
    <t>דיפון קשיח בעובי 12 ס"מ בהתאם למפרט נתיבי ישראל</t>
  </si>
  <si>
    <t>פיתוח</t>
  </si>
  <si>
    <t>אבן-שפה 17/25 ס''מ  בגוון אפור</t>
  </si>
  <si>
    <t>אבן גן 10/20 ס''מ בגוון אפור ללא פאזה</t>
  </si>
  <si>
    <t>אבן-שפה למעבר חציה 15/23 ס''מ בגוון צבעוני ללא פאזה</t>
  </si>
  <si>
    <t>אבן שפה מנקזת 18/20 ס"מ בגוון אפור</t>
  </si>
  <si>
    <t>אבן אי- תנועה 23/23  ס''מ בגוון אפור</t>
  </si>
  <si>
    <t>אבן משתלבת מלבנית 10/20/6 ס''מ ו/או 20/20/6 ס"מ בגוון אפור או צבעוני</t>
  </si>
  <si>
    <t>אבן סימון והכוונה לעוורים (בליטות או פסים) 20/20/6  ס''מ ,בגוון אפור או צבעוני</t>
  </si>
  <si>
    <t>אבן משתלבת מסותתת במידות 13.5/14.5/7 ס"מ</t>
  </si>
  <si>
    <t>יריעות</t>
  </si>
  <si>
    <t>יריעות גיאוטקסטיל מקבוצה 1 כמוגדר בטבלה 51.07.02.01 יריעה לא ארוגה</t>
  </si>
  <si>
    <t>יריעות HDPE אופקיות בעובי נומינלי 1 מ''מ, כולל חיבור למתקני תשתית ו/או מבנים</t>
  </si>
  <si>
    <t>יריעת HDPE בעובי 1.0 מ"מ טמונה בחציץ אנכי ברוחב 30 ס"מ בעומק עד 2.0 מטר, לרבות  מילוי
חוזר ב- CLSM</t>
  </si>
  <si>
    <t>יריעות LDPE בעובי 0.5 מ"מ כולל הדבקה באמצעות דבק בוטלי דו צדדי</t>
  </si>
  <si>
    <t>מילוי סדק ברוחב 5.0-1.01 ס''מ</t>
  </si>
  <si>
    <t>שילוט ותמרור</t>
  </si>
  <si>
    <t>שלטים/תמרורים צידיים חדשים  מטיפוסים שונים, בשטח עד 4.0 מ"ר מחומר מחזיר אור מדרגה 2 (לא כולל עמודים)</t>
  </si>
  <si>
    <t>שלטים/תמרורים צידיים חדשים בשטח מעל 4.0
מ"ר, מטיפוסים שונים מחומר מחזיר אור מדרגה 2 (לא כולל עמודים)</t>
  </si>
  <si>
    <t>מכלול שלט עילי עם חומר מחזיר אור דרגה 3 ( המסגרת נמדדת בנפרד).</t>
  </si>
  <si>
    <t>תוספת למחיר שלט/תמרור צידיים עבור יישום חומר מחזיר אור מדרגה 3 פלואורסצנטי במקום חומר מדרגה 2</t>
  </si>
  <si>
    <t>עמוד פלדה מגולוון בכל אורך בקוטר "3, לרבות ביסוס העמוד וחיבורו למסגרת השלט או לוחית התמרור</t>
  </si>
  <si>
    <t>עמוד פלדה מגולוון בכל אורך בקוטר "4, לרבות ביסוס העמוד וחיבורו למסגרת השלט או לוחית התמרור</t>
  </si>
  <si>
    <t>עמוד פלדה מגולוון בכל אורך בקוטר "6, לרבות ביסוס העמוד וחיבורו למסגרת השלט או לוחית התמרור</t>
  </si>
  <si>
    <t>תמרור מטיפוס A מכל סוג בעל דרגת החזר אור 2, לא כולל עמודים</t>
  </si>
  <si>
    <t>פירוק שלט עילי בגודל כלשהוא מגשרי שילוט/זיזים עיליים בכל גובה.</t>
  </si>
  <si>
    <t>פקקים לכיסוי פתחי עמודים בקוטר ''3 בכל גובה</t>
  </si>
  <si>
    <t>פקקים לכיסוי פתחי עמודים בקוטר ''4 בכל גובה</t>
  </si>
  <si>
    <t>פקקים לכיסוי פתחי עמודים בקוטר ''6 בכל גובה</t>
  </si>
  <si>
    <t>סימון כבישים</t>
  </si>
  <si>
    <t>קו ניתוב ברוחב 10 ס''מ בצבע חד-רכיבי בגוון לבן/צהוב כולל אחריות ל12- חודשים</t>
  </si>
  <si>
    <t>קו ניתוב ברוחב 15 ס''מ בצבע חד-רכיבי בגוון לבן/צהוב כולל אחריות ל12- חודשים</t>
  </si>
  <si>
    <t>תמרור 806 ו922-  - קו ניתוב כפול, ברוחב 10 ס''מ כל אחד בצבע חד רכיבי גוון לבן עם מרחק ביניהם של 10 ס"מ (10:10:10)כאשר פס אחד רציף ושני מקוטע ביחס 100:100 ס"מ, כולל אחריות ל- 12 חודשים (מדידה במטר אורך של פס רציף)</t>
  </si>
  <si>
    <t>צביעת שטחים בצבע חד רכיבי גוון לבן/צהוב (''קוביות'', קווי-עצירה, איי-תנועה, פסים למעבר חציה, וחיצים) , כולל אחריות ל12- חודשים</t>
  </si>
  <si>
    <t>צביעת אבני שפה בצבע בגוונים שונים</t>
  </si>
  <si>
    <t>פס הרעדה באמצעות קרצוף</t>
  </si>
  <si>
    <t>מעקות וגדרות בטיחות</t>
  </si>
  <si>
    <t>מעקה בטיחות מפלדה ברמת תפקוד H‏1 ברוחב פעיל W‏3 ערך חדירה VI‏4 , מאושר על- ידי ועדה בינמשרדית</t>
  </si>
  <si>
    <t>מעקה בטיחות מפלדה ברמת תפקוד H‏2 ערך חדירה VI‏4, מאושר על-ידי ועדה בינמשרדית</t>
  </si>
  <si>
    <t>מעקה בטיחות מפלדה דו צדדי ברמת תפקוד H‏2 ערך חדירה VI‏2, מאושר על-ידי ועדה בינמשרדית</t>
  </si>
  <si>
    <t>אביזרי בטיחות להתקנה קבועה</t>
  </si>
  <si>
    <t>פרט גלישה למעקה כלשהוא באורך 4 מטר</t>
  </si>
  <si>
    <t>פרט גלישה למעקה כלשהוא באורך 12 מטר</t>
  </si>
  <si>
    <t>מעבר ממעקה בטון למעקה NOVO RAIL ולהיפך, 2.0/1.33 וביצוע פרט מעבר ISRALI
STANDRD</t>
  </si>
  <si>
    <t>תוספת מחיר עבור פס מעקה תחתון להגנת רוכבי רכב דו גלגלי במעקה בטיחות, לרבות על מעקה קיים</t>
  </si>
  <si>
    <t>מעקות הולכי רגל</t>
  </si>
  <si>
    <t>מעקה להולכי רגל בהתאם לפרטים הסטנדרטים ולפי תקן 2142 מטיפוס A‏1 ולעומס של =N/M Q‏)1500) ,כולל עיגון המעקה בהתאם לתוכנית</t>
  </si>
  <si>
    <t>גדר בטיחות מגולוונת וצבועה בתנור בגובה 1.30
מ'</t>
  </si>
  <si>
    <t>מעקות - אסכורית</t>
  </si>
  <si>
    <t>גדר בגובה 2.5 מ' מגולוונת מפח מכופף חדש בעובי 0.5 מ"מ כדוגמת איסכורית,  כולל עמודים</t>
  </si>
  <si>
    <t>סמן מחזיר-אור חד-צדדי ממתכת מותקן בנעיצה והדבקה</t>
  </si>
  <si>
    <t>מעקות בטיחות בטון</t>
  </si>
  <si>
    <t>מעקה בטון מטיפוס STEP - חתך טיפוסי</t>
  </si>
  <si>
    <t>מעקה בטון מטיפוס STEP - חתך אסימטרי</t>
  </si>
  <si>
    <t>מעקה בטון יצוק באתר בחתך א-סימטרי, ברמת תפקוד  2H  ברוחב פעיל 1W'' ערך חדירה'' 1 VI</t>
  </si>
  <si>
    <t>התקני קצה וסופגי אנרגיה</t>
  </si>
  <si>
    <t>סופג אנרגיה ברמת תפקוד TL‏3 לרבות תשתית אספלטית</t>
  </si>
  <si>
    <t>התקן קצה  FLEAT-MT ברמת תפקוד TL‏3</t>
  </si>
  <si>
    <t>פירוק סופגי אנרגיה מכל סוג כולל כל האביזרים הנלווים</t>
  </si>
  <si>
    <t>מים</t>
  </si>
  <si>
    <t>קו מים בקוטר ''8 מצנורות פלדה ע.ד. ''5/32 עם ציפוי פנים בטון ועטיפת פלסטיק חיצונית משוחלת תלת שכבתית מותקן גלוי ע''ג אדנים, כולל שלות, כולל ספחים.</t>
  </si>
  <si>
    <t>קו מים מפלדה בקוטר ''10 ע.ד. ''5/32 עם ציפוי פנימי מבטון ועטיפת פלסטית משוחלת תלת שכבתית בעומק עד 1.50 מטר.</t>
  </si>
  <si>
    <t>פרט ''גמל'' עילי כולל קטעי צנרת, 4 זוויות 90 מעלות, כולל ריתוכים וצביעות (ללא אביזרים), בקוטר ''4.</t>
  </si>
  <si>
    <t>גושי בטון מזוין לעיגון, או לתושבות לצנרת מים, כולל הזיון.</t>
  </si>
  <si>
    <t>קו מים מפולאתילן מצולב בקוטר 110 מ"מ דרג 12 מונח בעומק עד 1.50 מטר, כולל ספחים</t>
  </si>
  <si>
    <t>קו מים מפולאתילן מצולב בקוטר 160 מ"מ דרג 12 מונח בעומק עד 1.50 מטר, כולל ספחים</t>
  </si>
  <si>
    <t>חיבור צינור פוליאתילן חדש לצינור קיים מכל סוג ע"י אוגנים לרבות תותבי אוגנים, אוגנים, אוגנים נגדיים, מחברי יצקת וכדומה בקוטר 110 מ"מ</t>
  </si>
  <si>
    <t>חיבור צינור פוליאתילן חדש לצינור קיים מכל סוג ע"י אוגנים לרבות תותבי אוגנים, אוגנים, אוגנים נגדיים, מחברי יצקת וכדומה בקוטר 160 מ"מ</t>
  </si>
  <si>
    <t>רגל תמיכה מתכווננת למפרטי מגוף ארוכים</t>
  </si>
  <si>
    <t>מגוף טריז בקוטר ''4 ציפוי פנים וחוץ אפוקסי, ציר נירוסטה 420, אוגנים נגדיים ברגים ואטמים</t>
  </si>
  <si>
    <t>מגוף הידראולי תעשייתי שובר לחץ  דו נפחי עם אטימה קשה התצורת גלוב או אלכסונית בקוטר "4</t>
  </si>
  <si>
    <t>שסתום אויר משולב מתוברג בקוטר ''2 כולל זקף וברז כדורי בקוטר ''2.</t>
  </si>
  <si>
    <t>מונע זרימה חוזרת בקוטר "4</t>
  </si>
  <si>
    <t>נקודת נקוז בקוטר ''4 כולל הסתעפות מקו מים ראשי בכל קוטר , ריתוכים, הרכבת ספחים ואביזרים, חצץ, וכן קטעי צנור פלדה ומשטח ריפ    ראפ  (מגוף, שוחה ושסתום מדף ימדדו בנפרד).</t>
  </si>
  <si>
    <t>מד מים אולטרסוני  בקוטר ''3 מאוגן</t>
  </si>
  <si>
    <t>מלכודת אבנים מיצקת ברזל בקוטר ''4 לרבות אוגנים ,אוגנים נגדיים, ברגים ואטמים</t>
  </si>
  <si>
    <t>ביוב</t>
  </si>
  <si>
    <t>צינור פוליאתילן PE‏100 דרג 10 בקוטר 200 מ"מ בעומק עד 1.25 מטר.</t>
  </si>
  <si>
    <t>קדוח בכביש ע''י צינורות מגן/שרוולים מפלדה בקוטר מ-''8 עד ''12 ובכל עומק שהוא, כולל בצוע כל התיאומים וההכנות הדרושים (הצינור ימדד בנפרד).</t>
  </si>
  <si>
    <t>תוספת מחיר עבור השחלת צינורות יעודיים בקוטר מ-''4 עד ''12 למעברי צנרת תת-קרקעיים</t>
  </si>
  <si>
    <t>שלט הדמיה</t>
  </si>
  <si>
    <t>הכנת שלט הדמיה ו/או שלט אתר בהתאם למפרט ניהול חוזה, כולל התקנה ופירוק</t>
  </si>
  <si>
    <t>תחזוקה</t>
  </si>
  <si>
    <t>תחזוקת מסעה לתקופת ביצוע לפי מפרט טכני מיוחד</t>
  </si>
  <si>
    <t>הקצב</t>
  </si>
  <si>
    <t>שינויים בסמכות ממ"פ (מכרז פומבי)</t>
  </si>
  <si>
    <t>שינויים בסמכות מנהל אגף (מכרז פומבי)</t>
  </si>
  <si>
    <t>הסדרי תנועה זמניים לכל אורך תקופת</t>
  </si>
  <si>
    <t>קומפלט</t>
  </si>
  <si>
    <t>תאורה זמנית</t>
  </si>
  <si>
    <t>1.02.01.0010</t>
  </si>
  <si>
    <t>1.02.01.0033</t>
  </si>
  <si>
    <t>1.02.01.0041</t>
  </si>
  <si>
    <t>1.02.01.0050</t>
  </si>
  <si>
    <t>1.02.01.0051</t>
  </si>
  <si>
    <t>1.02.01.0101</t>
  </si>
  <si>
    <t>1.02.01.0109</t>
  </si>
  <si>
    <t>1.02.01.0611</t>
  </si>
  <si>
    <t>1.02.01.0640</t>
  </si>
  <si>
    <t>1.02.01.0661</t>
  </si>
  <si>
    <t>1.02.01.0693</t>
  </si>
  <si>
    <t>1.02.01.0694</t>
  </si>
  <si>
    <t>1.02.01.0699</t>
  </si>
  <si>
    <t>1.02.01.0708</t>
  </si>
  <si>
    <t>1.02.01.0709</t>
  </si>
  <si>
    <t>1.02.01.0712</t>
  </si>
  <si>
    <t>1.02.01.0713</t>
  </si>
  <si>
    <t>1.02.01.0739</t>
  </si>
  <si>
    <t>1.02.01.0740</t>
  </si>
  <si>
    <t>1.02.01.0752</t>
  </si>
  <si>
    <t>1.02.01.0753</t>
  </si>
  <si>
    <t>1.02.01.0780</t>
  </si>
  <si>
    <t>1.02.01.0790</t>
  </si>
  <si>
    <t>1.02.01.0802</t>
  </si>
  <si>
    <t>1.02.01.0824</t>
  </si>
  <si>
    <t>1.02.01.0990</t>
  </si>
  <si>
    <t>1.02.01.1006</t>
  </si>
  <si>
    <t>1.02.01.1019</t>
  </si>
  <si>
    <t>1.02.01.1020</t>
  </si>
  <si>
    <t>1.02.01.1021</t>
  </si>
  <si>
    <t>1.02.01.1055</t>
  </si>
  <si>
    <t>1.02.01.1122</t>
  </si>
  <si>
    <t>1.05.01.0011</t>
  </si>
  <si>
    <t>1.05.01.0012</t>
  </si>
  <si>
    <t>1.08.10.0005</t>
  </si>
  <si>
    <t>1.08.10.0015</t>
  </si>
  <si>
    <t>1.08.10.0040</t>
  </si>
  <si>
    <t>1.08.10.0122</t>
  </si>
  <si>
    <t>1.08.10.0123</t>
  </si>
  <si>
    <t>1.08.10.0308</t>
  </si>
  <si>
    <t>1.08.10.0309</t>
  </si>
  <si>
    <t>1.08.10.0375</t>
  </si>
  <si>
    <t>1.08.10.0376</t>
  </si>
  <si>
    <t>1.08.10.0392</t>
  </si>
  <si>
    <t>1.08.10.0602</t>
  </si>
  <si>
    <t>1.08.10.0603</t>
  </si>
  <si>
    <t>1.08.10.0604</t>
  </si>
  <si>
    <t>1.08.10.0605</t>
  </si>
  <si>
    <t>1.08.10.0606</t>
  </si>
  <si>
    <t>1.08.10.0702</t>
  </si>
  <si>
    <t>1.08.10.0704</t>
  </si>
  <si>
    <t>1.08.10.0705</t>
  </si>
  <si>
    <t>1.08.10.0745</t>
  </si>
  <si>
    <t>1.08.10.0750</t>
  </si>
  <si>
    <t>1.08.10.0760</t>
  </si>
  <si>
    <t>1.08.10.0770</t>
  </si>
  <si>
    <t>1.08.10.0901</t>
  </si>
  <si>
    <t>1.08.10.0903</t>
  </si>
  <si>
    <t>1.08.10.0909</t>
  </si>
  <si>
    <t>1.08.10.0957</t>
  </si>
  <si>
    <t>1.08.10.1315</t>
  </si>
  <si>
    <t>1.08.10.1336</t>
  </si>
  <si>
    <t>1.08.10.1700</t>
  </si>
  <si>
    <t>1.08.10.1706</t>
  </si>
  <si>
    <t>1.08.10.1712</t>
  </si>
  <si>
    <t>1.08.10.1721</t>
  </si>
  <si>
    <t>1.08.10.1963</t>
  </si>
  <si>
    <t>1.08.10.2102</t>
  </si>
  <si>
    <t>1.08.10.2105</t>
  </si>
  <si>
    <t>1.08.10.2108</t>
  </si>
  <si>
    <t>1.08.10.2378</t>
  </si>
  <si>
    <t>1.08.10.2380</t>
  </si>
  <si>
    <t>1.08.10.2382</t>
  </si>
  <si>
    <t>1.08.10.2503</t>
  </si>
  <si>
    <t>1.08.10.2532</t>
  </si>
  <si>
    <t>1.08.10.2590</t>
  </si>
  <si>
    <t>1.08.10.2651</t>
  </si>
  <si>
    <t>1.08.10.2653</t>
  </si>
  <si>
    <t>1.08.10.2656</t>
  </si>
  <si>
    <t>1.08.10.2659</t>
  </si>
  <si>
    <t>1.08.10.2700</t>
  </si>
  <si>
    <t>1.08.10.2703</t>
  </si>
  <si>
    <t>1.08.10.3051</t>
  </si>
  <si>
    <t>1.08.10.3055</t>
  </si>
  <si>
    <t>1.08.10.3061</t>
  </si>
  <si>
    <t>1.08.10.3063</t>
  </si>
  <si>
    <t>1.08.10.3073</t>
  </si>
  <si>
    <t>1.08.10.3183</t>
  </si>
  <si>
    <t>1.08.10.3296</t>
  </si>
  <si>
    <t>1.08.10.3300</t>
  </si>
  <si>
    <t>1.08.10.3302</t>
  </si>
  <si>
    <t>1.08.10.3326</t>
  </si>
  <si>
    <t>1.08.10.3500</t>
  </si>
  <si>
    <t>1.08.10.3510</t>
  </si>
  <si>
    <t>1.08.10.3515</t>
  </si>
  <si>
    <t>1.08.10.3548</t>
  </si>
  <si>
    <t>1.08.10.3569</t>
  </si>
  <si>
    <t>1.08.10.3823</t>
  </si>
  <si>
    <t>1.08.10.3985</t>
  </si>
  <si>
    <t>1.08.10.3987</t>
  </si>
  <si>
    <t>1.08.10.4106</t>
  </si>
  <si>
    <t>1.08.10.4130</t>
  </si>
  <si>
    <t>1.08.10.4151</t>
  </si>
  <si>
    <t>1.08.10.9173</t>
  </si>
  <si>
    <t>1.08.10.9174</t>
  </si>
  <si>
    <t>1.08.10.9175</t>
  </si>
  <si>
    <t>1.08.10.9182</t>
  </si>
  <si>
    <t>1.08.10.9210</t>
  </si>
  <si>
    <t>1.08.10.9211</t>
  </si>
  <si>
    <t>1.08.10.9212</t>
  </si>
  <si>
    <t>1.19.02.0010</t>
  </si>
  <si>
    <t>1.19.02.0091</t>
  </si>
  <si>
    <t>1.19.02.0092</t>
  </si>
  <si>
    <t>1.19.02.0101</t>
  </si>
  <si>
    <t>1.19.02.0110</t>
  </si>
  <si>
    <t>1.19.02.0120</t>
  </si>
  <si>
    <t>1.19.05.2073</t>
  </si>
  <si>
    <t>1.23.01.0151</t>
  </si>
  <si>
    <t>1.23.01.0311</t>
  </si>
  <si>
    <t>1.23.01.0331</t>
  </si>
  <si>
    <t>1.23.01.0351</t>
  </si>
  <si>
    <t>1.23.01.0361</t>
  </si>
  <si>
    <t>1.23.01.0650</t>
  </si>
  <si>
    <t>1.40.01.0010</t>
  </si>
  <si>
    <t>1.40.01.0012</t>
  </si>
  <si>
    <t>1.40.01.0040</t>
  </si>
  <si>
    <t>1.40.02.0036</t>
  </si>
  <si>
    <t>1.40.02.0053</t>
  </si>
  <si>
    <t>1.40.02.1201</t>
  </si>
  <si>
    <t>1.40.02.1335</t>
  </si>
  <si>
    <t>1.41.01.0030</t>
  </si>
  <si>
    <t>1.41.01.0040</t>
  </si>
  <si>
    <t>1.41.01.0050</t>
  </si>
  <si>
    <t>1.41.01.0055</t>
  </si>
  <si>
    <t>1.41.01.0300</t>
  </si>
  <si>
    <t>1.41.01.0310</t>
  </si>
  <si>
    <t>1.41.01.0312</t>
  </si>
  <si>
    <t>1.41.01.0313</t>
  </si>
  <si>
    <t>1.41.01.0500</t>
  </si>
  <si>
    <t>1.41.01.0820</t>
  </si>
  <si>
    <t>1.41.01.0826</t>
  </si>
  <si>
    <t>1.41.01.0850</t>
  </si>
  <si>
    <t>1.41.01.0930</t>
  </si>
  <si>
    <t>1.41.01.0940</t>
  </si>
  <si>
    <t>1.41.01.0980</t>
  </si>
  <si>
    <t>1.41.01.1010</t>
  </si>
  <si>
    <t>1.41.01.1050</t>
  </si>
  <si>
    <t>1.41.01.1180</t>
  </si>
  <si>
    <t>1.41.01.1239</t>
  </si>
  <si>
    <t>1.41.01.1260</t>
  </si>
  <si>
    <t>1.41.01.1270</t>
  </si>
  <si>
    <t>1.41.01.1330</t>
  </si>
  <si>
    <t>1.41.01.1462</t>
  </si>
  <si>
    <t>1.41.01.1475</t>
  </si>
  <si>
    <t>1.41.01.1705</t>
  </si>
  <si>
    <t>1.41.01.1720</t>
  </si>
  <si>
    <t>1.41.01.1730</t>
  </si>
  <si>
    <t>1.41.01.2114</t>
  </si>
  <si>
    <t>1.41.01.2291</t>
  </si>
  <si>
    <t>1.41.01.5094</t>
  </si>
  <si>
    <t>1.41.01.5198</t>
  </si>
  <si>
    <t>1.51.01.0020</t>
  </si>
  <si>
    <t>1.51.01.0030</t>
  </si>
  <si>
    <t>1.51.01.0055</t>
  </si>
  <si>
    <t>1.51.01.0080</t>
  </si>
  <si>
    <t>1.51.01.0100</t>
  </si>
  <si>
    <t>1.51.01.0110</t>
  </si>
  <si>
    <t>1.51.01.0130</t>
  </si>
  <si>
    <t>1.51.01.0134</t>
  </si>
  <si>
    <t>1.51.01.0140</t>
  </si>
  <si>
    <t>1.51.01.0160</t>
  </si>
  <si>
    <t>1.51.01.0170</t>
  </si>
  <si>
    <t>1.51.01.0180</t>
  </si>
  <si>
    <t>1.51.01.0195</t>
  </si>
  <si>
    <t>1.51.01.0245</t>
  </si>
  <si>
    <t>1.51.01.0294</t>
  </si>
  <si>
    <t>1.51.01.0330</t>
  </si>
  <si>
    <t>1.51.01.0360</t>
  </si>
  <si>
    <t>1.51.01.0370</t>
  </si>
  <si>
    <t>1.51.01.0410</t>
  </si>
  <si>
    <t>1.51.01.0428</t>
  </si>
  <si>
    <t>1.51.01.0429</t>
  </si>
  <si>
    <t>1.51.01.0440</t>
  </si>
  <si>
    <t>1.51.01.0450</t>
  </si>
  <si>
    <t>1.51.01.0480</t>
  </si>
  <si>
    <t>1.51.01.0570</t>
  </si>
  <si>
    <t>1.51.01.0740</t>
  </si>
  <si>
    <t>1.51.01.0760</t>
  </si>
  <si>
    <t>1.51.01.0810</t>
  </si>
  <si>
    <t>1.51.01.0820</t>
  </si>
  <si>
    <t>1.51.01.1001</t>
  </si>
  <si>
    <t>1.51.01.1005</t>
  </si>
  <si>
    <t>1.51.01.1040</t>
  </si>
  <si>
    <t>1.51.01.1048</t>
  </si>
  <si>
    <t>1.51.01.1055</t>
  </si>
  <si>
    <t>1.51.01.1060</t>
  </si>
  <si>
    <t>1.51.01.1061</t>
  </si>
  <si>
    <t>1.51.01.1062</t>
  </si>
  <si>
    <t>1.51.01.1064</t>
  </si>
  <si>
    <t>1.51.01.1080</t>
  </si>
  <si>
    <t>1.51.01.1097</t>
  </si>
  <si>
    <t>1.51.01.1110</t>
  </si>
  <si>
    <t>1.51.01.1120</t>
  </si>
  <si>
    <t>1.51.01.1150</t>
  </si>
  <si>
    <t>1.51.01.1165</t>
  </si>
  <si>
    <t>1.51.01.1170</t>
  </si>
  <si>
    <t>1.51.01.1190</t>
  </si>
  <si>
    <t>1.51.01.1196</t>
  </si>
  <si>
    <t>1.51.01.1198</t>
  </si>
  <si>
    <t>1.51.01.1200</t>
  </si>
  <si>
    <t>1.51.01.1201</t>
  </si>
  <si>
    <t>1.51.01.1205</t>
  </si>
  <si>
    <t>1.51.01.1211</t>
  </si>
  <si>
    <t>1.51.01.1241</t>
  </si>
  <si>
    <t>1.51.01.1242</t>
  </si>
  <si>
    <t>1.51.01.1249</t>
  </si>
  <si>
    <t>1.51.01.1265</t>
  </si>
  <si>
    <t>1.51.01.1275</t>
  </si>
  <si>
    <t>1.51.01.1305</t>
  </si>
  <si>
    <t>1.51.01.1310</t>
  </si>
  <si>
    <t>1.51.01.1345</t>
  </si>
  <si>
    <t>1.51.01.1350</t>
  </si>
  <si>
    <t>1.51.01.1356</t>
  </si>
  <si>
    <t>1.51.02.0020</t>
  </si>
  <si>
    <t>1.51.02.0030</t>
  </si>
  <si>
    <t>1.51.02.0040</t>
  </si>
  <si>
    <t>1.51.02.0050</t>
  </si>
  <si>
    <t>1.51.02.0060</t>
  </si>
  <si>
    <t>1.51.02.0087</t>
  </si>
  <si>
    <t>1.51.02.0103</t>
  </si>
  <si>
    <t>1.51.02.0110</t>
  </si>
  <si>
    <t>1.51.02.0120</t>
  </si>
  <si>
    <t>1.51.02.0140</t>
  </si>
  <si>
    <t>1.51.02.0150</t>
  </si>
  <si>
    <t>1.51.02.0260</t>
  </si>
  <si>
    <t>1.51.02.9929</t>
  </si>
  <si>
    <t>1.51.03.0010</t>
  </si>
  <si>
    <t>1.51.03.0020</t>
  </si>
  <si>
    <t>1.51.03.0030</t>
  </si>
  <si>
    <t>1.51.03.0069</t>
  </si>
  <si>
    <t>1.51.04.0020</t>
  </si>
  <si>
    <t>1.51.04.0030</t>
  </si>
  <si>
    <t>1.51.04.0040</t>
  </si>
  <si>
    <t>1.51.04.0080</t>
  </si>
  <si>
    <t>1.51.04.0120</t>
  </si>
  <si>
    <t>1.51.04.0160</t>
  </si>
  <si>
    <t>1.51.04.0200</t>
  </si>
  <si>
    <t>1.51.04.0350</t>
  </si>
  <si>
    <t>1.51.04.0380</t>
  </si>
  <si>
    <t>1.51.04.0490</t>
  </si>
  <si>
    <t>1.51.04.1210</t>
  </si>
  <si>
    <t>1.51.04.1215</t>
  </si>
  <si>
    <t>1.51.04.1470</t>
  </si>
  <si>
    <t>1.51.04.1480</t>
  </si>
  <si>
    <t>1.51.04.1482</t>
  </si>
  <si>
    <t>1.51.04.1490</t>
  </si>
  <si>
    <t>1.51.04.1520</t>
  </si>
  <si>
    <t>1.51.04.1530</t>
  </si>
  <si>
    <t>1.51.04.1539</t>
  </si>
  <si>
    <t>1.51.04.1543</t>
  </si>
  <si>
    <t>1.51.04.1544</t>
  </si>
  <si>
    <t>1.51.04.1554</t>
  </si>
  <si>
    <t>1.51.04.1560</t>
  </si>
  <si>
    <t>1.51.04.1563</t>
  </si>
  <si>
    <t>1.51.04.1564</t>
  </si>
  <si>
    <t>1.51.04.1570</t>
  </si>
  <si>
    <t>1.51.04.1580</t>
  </si>
  <si>
    <t>1.51.05.0715</t>
  </si>
  <si>
    <t>1.51.05.0719</t>
  </si>
  <si>
    <t>1.51.05.0735</t>
  </si>
  <si>
    <t>1.51.05.0757</t>
  </si>
  <si>
    <t>1.51.05.0779</t>
  </si>
  <si>
    <t>1.51.05.0817</t>
  </si>
  <si>
    <t>1.51.05.0909</t>
  </si>
  <si>
    <t>1.51.05.1069</t>
  </si>
  <si>
    <t>1.51.05.1273</t>
  </si>
  <si>
    <t>1.51.05.1317</t>
  </si>
  <si>
    <t>1.51.05.1341</t>
  </si>
  <si>
    <t>1.51.05.1753</t>
  </si>
  <si>
    <t>1.51.05.2093</t>
  </si>
  <si>
    <t>1.51.05.2107</t>
  </si>
  <si>
    <t>1.51.05.2161</t>
  </si>
  <si>
    <t>1.51.05.2385</t>
  </si>
  <si>
    <t>1.51.05.2415</t>
  </si>
  <si>
    <t>1.51.05.2653</t>
  </si>
  <si>
    <t>1.51.05.2762</t>
  </si>
  <si>
    <t>1.51.05.2787</t>
  </si>
  <si>
    <t>1.51.05.2803</t>
  </si>
  <si>
    <t>1.51.05.2814</t>
  </si>
  <si>
    <t>1.51.05.2824</t>
  </si>
  <si>
    <t>1.51.05.2954</t>
  </si>
  <si>
    <t>1.51.05.2965</t>
  </si>
  <si>
    <t>1.51.06.0010</t>
  </si>
  <si>
    <t>1.51.06.0031</t>
  </si>
  <si>
    <t>1.51.06.0111</t>
  </si>
  <si>
    <t>1.51.06.0112</t>
  </si>
  <si>
    <t>1.51.06.0120</t>
  </si>
  <si>
    <t>1.51.06.0451</t>
  </si>
  <si>
    <t>1.51.06.0540</t>
  </si>
  <si>
    <t>1.51.06.0544</t>
  </si>
  <si>
    <t>1.51.07.0020</t>
  </si>
  <si>
    <t>1.51.07.0230</t>
  </si>
  <si>
    <t>1.51.07.0237</t>
  </si>
  <si>
    <t>1.51.07.0700</t>
  </si>
  <si>
    <t>1.51.21.0020</t>
  </si>
  <si>
    <t>1.51.31.2002</t>
  </si>
  <si>
    <t>1.51.31.2003</t>
  </si>
  <si>
    <t>1.51.31.2040</t>
  </si>
  <si>
    <t>1.51.31.2100</t>
  </si>
  <si>
    <t>1.51.31.2202</t>
  </si>
  <si>
    <t>1.51.31.2205</t>
  </si>
  <si>
    <t>1.51.31.2208</t>
  </si>
  <si>
    <t>1.51.31.2300</t>
  </si>
  <si>
    <t>1.51.31.5250</t>
  </si>
  <si>
    <t>1.51.31.5285</t>
  </si>
  <si>
    <t>1.51.31.5290</t>
  </si>
  <si>
    <t>1.51.31.5295</t>
  </si>
  <si>
    <t>1.51.32.1725</t>
  </si>
  <si>
    <t>1.51.32.1730</t>
  </si>
  <si>
    <t>1.51.32.1755</t>
  </si>
  <si>
    <t>1.51.32.1795</t>
  </si>
  <si>
    <t>1.51.32.2640</t>
  </si>
  <si>
    <t>1.51.32.2646</t>
  </si>
  <si>
    <t>1.51.33.1525</t>
  </si>
  <si>
    <t>1.51.33.1553</t>
  </si>
  <si>
    <t>1.51.33.1561</t>
  </si>
  <si>
    <t>1.51.33.1762</t>
  </si>
  <si>
    <t>1.51.33.1768</t>
  </si>
  <si>
    <t>1.51.33.2070</t>
  </si>
  <si>
    <t>1.51.33.2130</t>
  </si>
  <si>
    <t>1.51.33.4006</t>
  </si>
  <si>
    <t>1.51.33.4012</t>
  </si>
  <si>
    <t>1.51.33.4303</t>
  </si>
  <si>
    <t>1.51.34.0400</t>
  </si>
  <si>
    <t>1.51.36.0140</t>
  </si>
  <si>
    <t>1.51.36.0160</t>
  </si>
  <si>
    <t>1.51.36.0200</t>
  </si>
  <si>
    <t>1.51.37.0115</t>
  </si>
  <si>
    <t>1.51.37.0920</t>
  </si>
  <si>
    <t>1.51.37.5002</t>
  </si>
  <si>
    <t>1.57.02.0269</t>
  </si>
  <si>
    <t>1.57.02.0325</t>
  </si>
  <si>
    <t>1.57.02.1334</t>
  </si>
  <si>
    <t>1.57.02.1740</t>
  </si>
  <si>
    <t>1.57.02.2208</t>
  </si>
  <si>
    <t>1.57.02.2210</t>
  </si>
  <si>
    <t>1.57.02.3305</t>
  </si>
  <si>
    <t>1.57.02.3308</t>
  </si>
  <si>
    <t>1.57.02.3345</t>
  </si>
  <si>
    <t>1.57.02.3854</t>
  </si>
  <si>
    <t>1.57.02.4102</t>
  </si>
  <si>
    <t>1.57.02.4352</t>
  </si>
  <si>
    <t>1.57.02.4554</t>
  </si>
  <si>
    <t>1.57.02.4904</t>
  </si>
  <si>
    <t>1.57.02.4972</t>
  </si>
  <si>
    <t>1.57.02.5054</t>
  </si>
  <si>
    <t>1.57.03.1030</t>
  </si>
  <si>
    <t>1.57.03.5210</t>
  </si>
  <si>
    <t>1.57.03.5600</t>
  </si>
  <si>
    <t>1.60.01.0020</t>
  </si>
  <si>
    <t>1.60.01.9577</t>
  </si>
  <si>
    <t>1.60.01.0604</t>
  </si>
  <si>
    <t>1.60.01.0606</t>
  </si>
  <si>
    <t>1.60.01.0030</t>
  </si>
  <si>
    <t>ORIGINAL Section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</si>
</sst>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40D]\ * #,##0.00_ ;_ [$₪-40D]\ * \-#,##0.00_ ;_ [$₪-40D]\ * &quot;-&quot;??_ ;_ @_ "/>
  </numFmts>
  <fonts count="3" x14ac:knownFonts="1">
    <font>
      <sz val="11"/>
      <color theme="1"/>
      <name val="Calibri"/>
      <family val="2"/>
      <scheme val="minor"/>
    </font>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CC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5">
    <xf numFmtId="0" fontId="0" fillId="0" borderId="0" xfId="0"/>
    <xf numFmtId="0" fontId="0" fillId="0" borderId="0" xfId="0" applyAlignment="1">
      <alignment horizontal="center" vertical="center"/>
    </xf>
    <xf numFmtId="43" fontId="0" fillId="0" borderId="0" xfId="1" applyFont="1"/>
    <xf numFmtId="0" fontId="2" fillId="0" borderId="1" xfId="0" applyFont="1" applyBorder="1" applyAlignment="1">
      <alignment horizontal="center" vertical="center"/>
    </xf>
    <xf numFmtId="43" fontId="0" fillId="0" borderId="1" xfId="1" applyFont="1" applyBorder="1" applyAlignment="1">
      <alignment horizontal="center" vertical="center" wrapText="1"/>
    </xf>
    <xf numFmtId="43" fontId="0" fillId="2" borderId="1" xfId="1"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164" fontId="0" fillId="0" borderId="1" xfId="1" applyNumberFormat="1" applyFont="1" applyBorder="1"/>
    <xf numFmtId="43" fontId="0" fillId="0" borderId="1" xfId="1" applyFont="1" applyBorder="1"/>
    <xf numFmtId="0" fontId="0" fillId="0" borderId="1" xfId="0" applyBorder="1" applyAlignment="1">
      <alignment horizontal="right"/>
    </xf>
    <xf numFmtId="0" fontId="0" fillId="0" borderId="1" xfId="0" applyBorder="1"/>
    <xf numFmtId="0" fontId="0" fillId="0" borderId="0" xfId="0" applyAlignment="1">
      <alignment horizontal="center"/>
    </xf>
    <xf numFmtId="0" fontId="0" fillId="0" borderId="1" xfId="0" applyBorder="1" applyAlignment="1">
      <alignment horizontal="center"/>
    </xf>
    <xf numFmtId="0" fontId="2" fillId="0"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0" fillId="0" borderId="1" xfId="0" applyNumberFormat="1" applyFill="1" applyBorder="1" applyAlignment="1">
      <alignment horizontal="right" wrapText="1"/>
    </xf>
    <xf numFmtId="0" fontId="0" fillId="0" borderId="0" xfId="0" applyFill="1"/>
    <xf numFmtId="49" fontId="0" fillId="0" borderId="1" xfId="0" applyNumberFormat="1" applyFill="1" applyBorder="1" applyAlignment="1">
      <alignment horizontal="center" vertical="center"/>
    </xf>
    <xf numFmtId="0" fontId="0" fillId="0" borderId="1" xfId="0" applyFill="1" applyBorder="1" applyAlignment="1">
      <alignment horizontal="center" vertical="center"/>
    </xf>
    <xf numFmtId="43" fontId="0" fillId="0" borderId="2" xfId="1" applyFont="1" applyBorder="1"/>
    <xf numFmtId="43" fontId="2" fillId="0" borderId="1" xfId="1" applyFont="1" applyFill="1" applyBorder="1" applyAlignment="1">
      <alignment horizontal="center" vertical="center"/>
    </xf>
    <xf numFmtId="43" fontId="0" fillId="0" borderId="1" xfId="1" applyFont="1" applyFill="1" applyBorder="1" applyAlignment="1">
      <alignment horizontal="center" vertical="center"/>
    </xf>
    <xf numFmtId="43" fontId="2" fillId="0" borderId="1" xfId="1" applyFont="1" applyFill="1" applyBorder="1" applyAlignment="1">
      <alignment horizontal="center" vertical="center" wrapText="1"/>
    </xf>
    <xf numFmtId="0" fontId="0" fillId="0" borderId="0" xfId="0" applyFill="1" applyAlignment="1">
      <alignment horizontal="center" vertical="center"/>
    </xf>
    <xf numFmtId="43" fontId="2" fillId="0" borderId="1" xfId="1" applyFont="1" applyFill="1" applyBorder="1" applyAlignment="1">
      <alignment vertical="center"/>
    </xf>
    <xf numFmtId="164" fontId="0" fillId="0" borderId="1" xfId="1" applyNumberFormat="1" applyFont="1" applyBorder="1" applyAlignment="1">
      <alignment vertical="center"/>
    </xf>
    <xf numFmtId="43" fontId="0" fillId="0" borderId="1" xfId="1" applyFont="1" applyFill="1" applyBorder="1" applyAlignment="1">
      <alignment vertical="center"/>
    </xf>
    <xf numFmtId="43" fontId="0" fillId="0" borderId="0" xfId="1" applyFont="1" applyFill="1" applyAlignment="1">
      <alignment vertical="center"/>
    </xf>
    <xf numFmtId="164" fontId="0" fillId="0" borderId="0" xfId="0" applyNumberFormat="1" applyAlignment="1">
      <alignment vertical="center"/>
    </xf>
    <xf numFmtId="0" fontId="0" fillId="0" borderId="0" xfId="0" applyAlignment="1">
      <alignment vertical="center"/>
    </xf>
    <xf numFmtId="49" fontId="0" fillId="0" borderId="1" xfId="0" applyNumberFormat="1" applyFill="1" applyBorder="1" applyAlignment="1">
      <alignment horizontal="center" vertical="center" wrapText="1"/>
    </xf>
    <xf numFmtId="49" fontId="0" fillId="0" borderId="0" xfId="0" applyNumberFormat="1" applyFill="1" applyAlignment="1">
      <alignment horizontal="center" vertical="center"/>
    </xf>
    <xf numFmtId="0" fontId="0" fillId="0" borderId="0" xfId="0" applyAlignment="1">
      <alignment horizontal="center" vertical="center" wrapText="1"/>
    </xf>
    <xf numFmtId="0" fontId="0" fillId="0" borderId="0" xfId="0"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67"/>
  <sheetViews>
    <sheetView tabSelected="1" workbookViewId="0">
      <selection activeCell="Z1" sqref="Z1"/>
    </sheetView>
  </sheetViews>
  <sheetFormatPr defaultColWidth="9" defaultRowHeight="14.4" x14ac:dyDescent="0.3"/>
  <cols>
    <col min="1" max="1" width="12.88671875" style="24" bestFit="1" customWidth="1"/>
    <col min="2" max="2" width="8.44140625" style="24" bestFit="1" customWidth="1"/>
    <col min="3" max="3" width="13.6640625" style="24" customWidth="1"/>
    <col min="4" max="4" width="14.109375" style="32" bestFit="1" customWidth="1"/>
    <col min="5" max="5" width="26.33203125" style="17" bestFit="1" customWidth="1"/>
    <col min="6" max="6" width="8.88671875" style="24" bestFit="1" customWidth="1"/>
    <col min="7" max="7" width="12.5546875" style="28" bestFit="1" customWidth="1"/>
    <col min="8" max="8" width="14.44140625" style="28" customWidth="1"/>
    <col min="9" max="9" width="16.77734375" style="30" bestFit="1" customWidth="1"/>
    <col min="10" max="11" width="9.109375" hidden="1" customWidth="1"/>
    <col min="12" max="12" width="8.21875" hidden="1" customWidth="1"/>
    <col min="13" max="13" width="8.77734375" hidden="1" customWidth="1"/>
    <col min="14" max="15" width="14.33203125" hidden="1" customWidth="1"/>
    <col min="16" max="16" width="7.77734375" hidden="1" customWidth="1"/>
    <col min="17" max="17" width="8.77734375" hidden="1" customWidth="1"/>
    <col min="18" max="18" width="6.5546875" hidden="1" customWidth="1"/>
    <col min="24" max="25" width="10.109375" bestFit="1" customWidth="1"/>
  </cols>
  <sheetData>
    <row r="1" spans="1:25" ht="72" x14ac:dyDescent="0.3">
      <c r="A1" s="14" t="s">
        <v>0</v>
      </c>
      <c r="B1" s="15" t="s">
        <v>1</v>
      </c>
      <c r="C1" s="15" t="s">
        <v>17</v>
      </c>
      <c r="D1" s="15" t="s">
        <v>2</v>
      </c>
      <c r="E1" s="14" t="s">
        <v>3</v>
      </c>
      <c r="F1" s="14" t="s">
        <v>4</v>
      </c>
      <c r="G1" s="23" t="s">
        <v>5</v>
      </c>
      <c r="H1" s="21" t="s">
        <v>6</v>
      </c>
      <c r="I1" s="3" t="s">
        <v>7</v>
      </c>
      <c r="J1" s="4" t="s">
        <v>8</v>
      </c>
      <c r="K1" s="4" t="s">
        <v>9</v>
      </c>
      <c r="L1" s="5" t="s">
        <v>10</v>
      </c>
      <c r="M1" s="5" t="s">
        <v>11</v>
      </c>
      <c r="N1" s="6" t="s">
        <v>12</v>
      </c>
      <c r="O1" s="6" t="s">
        <v>13</v>
      </c>
      <c r="P1" s="7" t="s">
        <v>14</v>
      </c>
      <c r="Q1" s="7" t="s">
        <v>15</v>
      </c>
      <c r="R1" s="6" t="s">
        <v>16</v>
      </c>
      <c r="S1" s="1"/>
      <c r="T1" s="1"/>
      <c r="X1" s="34" t="s">
        <v>785</v>
      </c>
      <c r="Y1" s="33"/>
    </row>
    <row r="2" spans="1:25" ht="28.8" x14ac:dyDescent="0.3">
      <c r="A2" s="19">
        <v>1</v>
      </c>
      <c r="B2" s="19">
        <v>1</v>
      </c>
      <c r="C2" s="19" t="s">
        <v>18</v>
      </c>
      <c r="D2" s="18" t="s">
        <v>421</v>
      </c>
      <c r="E2" s="16" t="s">
        <v>29</v>
      </c>
      <c r="F2" s="31" t="s">
        <v>30</v>
      </c>
      <c r="G2" s="25">
        <v>454.41</v>
      </c>
      <c r="H2" s="26">
        <v>546.25</v>
      </c>
      <c r="I2" s="26">
        <f>H2*G2</f>
        <v>248221.46250000002</v>
      </c>
      <c r="J2" s="20"/>
      <c r="K2" s="9"/>
      <c r="L2" s="10"/>
      <c r="M2" s="10"/>
      <c r="N2" s="8"/>
      <c r="O2" s="8"/>
      <c r="P2" s="8"/>
      <c r="Q2" s="8"/>
      <c r="R2" s="11"/>
      <c r="V2" t="b">
        <f>COUNTIF($D:$D, D2) &gt; 1</f>
        <v>0</v>
      </c>
      <c r="X2" t="str">
        <f>MID(D2,3,LEN(D2)-2)</f>
        <v>02.01.0010</v>
      </c>
    </row>
    <row r="3" spans="1:25" ht="43.2" x14ac:dyDescent="0.3">
      <c r="A3" s="19">
        <v>2</v>
      </c>
      <c r="B3" s="19">
        <v>1</v>
      </c>
      <c r="C3" s="19" t="s">
        <v>18</v>
      </c>
      <c r="D3" s="18" t="s">
        <v>422</v>
      </c>
      <c r="E3" s="16" t="s">
        <v>31</v>
      </c>
      <c r="F3" s="31" t="s">
        <v>30</v>
      </c>
      <c r="G3" s="25">
        <v>32</v>
      </c>
      <c r="H3" s="26">
        <v>1548.5</v>
      </c>
      <c r="I3" s="26">
        <f t="shared" ref="I3:I66" si="0">H3*G3</f>
        <v>49552</v>
      </c>
      <c r="J3" s="20"/>
      <c r="K3" s="9"/>
      <c r="L3" s="10"/>
      <c r="M3" s="10"/>
      <c r="N3" s="8"/>
      <c r="O3" s="8"/>
      <c r="P3" s="8"/>
      <c r="Q3" s="8"/>
      <c r="R3" s="11"/>
      <c r="V3" t="b">
        <f t="shared" ref="V3:V66" si="1">COUNTIF($D:$D, D3) &gt; 1</f>
        <v>0</v>
      </c>
      <c r="X3" t="str">
        <f t="shared" ref="X3:X66" si="2">MID(D3,3,LEN(D3)-2)</f>
        <v>02.01.0033</v>
      </c>
    </row>
    <row r="4" spans="1:25" ht="28.8" x14ac:dyDescent="0.3">
      <c r="A4" s="19">
        <v>3</v>
      </c>
      <c r="B4" s="19">
        <v>1</v>
      </c>
      <c r="C4" s="19" t="s">
        <v>18</v>
      </c>
      <c r="D4" s="18" t="s">
        <v>423</v>
      </c>
      <c r="E4" s="16" t="s">
        <v>32</v>
      </c>
      <c r="F4" s="31" t="s">
        <v>30</v>
      </c>
      <c r="G4" s="25">
        <v>705</v>
      </c>
      <c r="H4" s="26">
        <v>1149.5</v>
      </c>
      <c r="I4" s="26">
        <f t="shared" si="0"/>
        <v>810397.5</v>
      </c>
      <c r="J4" s="20"/>
      <c r="K4" s="9"/>
      <c r="L4" s="10"/>
      <c r="M4" s="10"/>
      <c r="N4" s="8"/>
      <c r="O4" s="8"/>
      <c r="P4" s="8"/>
      <c r="Q4" s="8"/>
      <c r="R4" s="11"/>
      <c r="V4" t="b">
        <f t="shared" si="1"/>
        <v>0</v>
      </c>
      <c r="X4" t="str">
        <f t="shared" si="2"/>
        <v>02.01.0041</v>
      </c>
    </row>
    <row r="5" spans="1:25" ht="28.8" x14ac:dyDescent="0.3">
      <c r="A5" s="19">
        <v>4</v>
      </c>
      <c r="B5" s="19">
        <v>1</v>
      </c>
      <c r="C5" s="19" t="s">
        <v>18</v>
      </c>
      <c r="D5" s="18" t="s">
        <v>424</v>
      </c>
      <c r="E5" s="16" t="s">
        <v>33</v>
      </c>
      <c r="F5" s="19" t="s">
        <v>30</v>
      </c>
      <c r="G5" s="25">
        <v>258.64999999999998</v>
      </c>
      <c r="H5" s="26">
        <v>1121</v>
      </c>
      <c r="I5" s="26">
        <f t="shared" si="0"/>
        <v>289946.64999999997</v>
      </c>
      <c r="J5" s="20"/>
      <c r="K5" s="9"/>
      <c r="L5" s="10"/>
      <c r="M5" s="10"/>
      <c r="N5" s="8"/>
      <c r="O5" s="8"/>
      <c r="P5" s="8"/>
      <c r="Q5" s="8"/>
      <c r="R5" s="11"/>
      <c r="V5" t="b">
        <f t="shared" si="1"/>
        <v>0</v>
      </c>
      <c r="X5" t="str">
        <f t="shared" si="2"/>
        <v>02.01.0050</v>
      </c>
    </row>
    <row r="6" spans="1:25" ht="28.8" x14ac:dyDescent="0.3">
      <c r="A6" s="19">
        <v>5</v>
      </c>
      <c r="B6" s="19">
        <v>1</v>
      </c>
      <c r="C6" s="19" t="s">
        <v>18</v>
      </c>
      <c r="D6" s="18" t="s">
        <v>425</v>
      </c>
      <c r="E6" s="16" t="s">
        <v>34</v>
      </c>
      <c r="F6" s="31" t="s">
        <v>30</v>
      </c>
      <c r="G6" s="25">
        <v>433.75</v>
      </c>
      <c r="H6" s="26">
        <v>1187.5</v>
      </c>
      <c r="I6" s="26">
        <f t="shared" si="0"/>
        <v>515078.125</v>
      </c>
      <c r="J6" s="20"/>
      <c r="K6" s="9"/>
      <c r="L6" s="10"/>
      <c r="M6" s="10"/>
      <c r="N6" s="8"/>
      <c r="O6" s="8"/>
      <c r="P6" s="8"/>
      <c r="Q6" s="8"/>
      <c r="R6" s="11"/>
      <c r="V6" t="b">
        <f t="shared" si="1"/>
        <v>0</v>
      </c>
      <c r="X6" t="str">
        <f t="shared" si="2"/>
        <v>02.01.0051</v>
      </c>
    </row>
    <row r="7" spans="1:25" ht="115.2" x14ac:dyDescent="0.3">
      <c r="A7" s="19">
        <v>6</v>
      </c>
      <c r="B7" s="19">
        <v>1</v>
      </c>
      <c r="C7" s="19" t="s">
        <v>18</v>
      </c>
      <c r="D7" s="18" t="s">
        <v>426</v>
      </c>
      <c r="E7" s="16" t="s">
        <v>35</v>
      </c>
      <c r="F7" s="31" t="s">
        <v>30</v>
      </c>
      <c r="G7" s="25">
        <v>230</v>
      </c>
      <c r="H7" s="26">
        <v>1843</v>
      </c>
      <c r="I7" s="26">
        <f t="shared" si="0"/>
        <v>423890</v>
      </c>
      <c r="J7" s="20"/>
      <c r="K7" s="9"/>
      <c r="L7" s="10"/>
      <c r="M7" s="10"/>
      <c r="N7" s="8"/>
      <c r="O7" s="8"/>
      <c r="P7" s="8"/>
      <c r="Q7" s="8"/>
      <c r="R7" s="11"/>
      <c r="V7" t="b">
        <f t="shared" si="1"/>
        <v>0</v>
      </c>
      <c r="X7" t="str">
        <f t="shared" si="2"/>
        <v>02.01.0101</v>
      </c>
    </row>
    <row r="8" spans="1:25" ht="28.8" x14ac:dyDescent="0.3">
      <c r="A8" s="19">
        <v>7</v>
      </c>
      <c r="B8" s="19">
        <v>1</v>
      </c>
      <c r="C8" s="19" t="s">
        <v>18</v>
      </c>
      <c r="D8" s="18" t="s">
        <v>427</v>
      </c>
      <c r="E8" s="16" t="s">
        <v>36</v>
      </c>
      <c r="F8" s="31" t="s">
        <v>30</v>
      </c>
      <c r="G8" s="25">
        <v>49.57</v>
      </c>
      <c r="H8" s="26">
        <v>1073.5</v>
      </c>
      <c r="I8" s="26">
        <f t="shared" si="0"/>
        <v>53213.394999999997</v>
      </c>
      <c r="J8" s="20"/>
      <c r="K8" s="9"/>
      <c r="L8" s="10"/>
      <c r="M8" s="10"/>
      <c r="N8" s="8"/>
      <c r="O8" s="8"/>
      <c r="P8" s="8"/>
      <c r="Q8" s="8"/>
      <c r="R8" s="13"/>
      <c r="S8" s="12"/>
      <c r="T8" s="12"/>
      <c r="V8" t="b">
        <f t="shared" si="1"/>
        <v>0</v>
      </c>
      <c r="X8" t="str">
        <f t="shared" si="2"/>
        <v>02.01.0109</v>
      </c>
    </row>
    <row r="9" spans="1:25" ht="28.8" x14ac:dyDescent="0.3">
      <c r="A9" s="19">
        <v>8</v>
      </c>
      <c r="B9" s="19">
        <v>1</v>
      </c>
      <c r="C9" s="19" t="s">
        <v>18</v>
      </c>
      <c r="D9" s="18" t="s">
        <v>428</v>
      </c>
      <c r="E9" s="16" t="s">
        <v>37</v>
      </c>
      <c r="F9" s="31" t="s">
        <v>30</v>
      </c>
      <c r="G9" s="25">
        <v>14</v>
      </c>
      <c r="H9" s="26">
        <v>1434.5</v>
      </c>
      <c r="I9" s="26">
        <f t="shared" si="0"/>
        <v>20083</v>
      </c>
      <c r="J9" s="20"/>
      <c r="K9" s="9"/>
      <c r="L9" s="10"/>
      <c r="M9" s="10"/>
      <c r="N9" s="8"/>
      <c r="O9" s="8"/>
      <c r="P9" s="8"/>
      <c r="Q9" s="8"/>
      <c r="R9" s="11"/>
      <c r="V9" t="b">
        <f t="shared" si="1"/>
        <v>0</v>
      </c>
      <c r="X9" t="str">
        <f t="shared" si="2"/>
        <v>02.01.0611</v>
      </c>
    </row>
    <row r="10" spans="1:25" ht="43.2" x14ac:dyDescent="0.3">
      <c r="A10" s="19">
        <v>9</v>
      </c>
      <c r="B10" s="19">
        <v>1</v>
      </c>
      <c r="C10" s="19" t="s">
        <v>18</v>
      </c>
      <c r="D10" s="18" t="s">
        <v>429</v>
      </c>
      <c r="E10" s="16" t="s">
        <v>38</v>
      </c>
      <c r="F10" s="31" t="s">
        <v>30</v>
      </c>
      <c r="G10" s="25">
        <v>100</v>
      </c>
      <c r="H10" s="26">
        <v>1586.5</v>
      </c>
      <c r="I10" s="26">
        <f t="shared" si="0"/>
        <v>158650</v>
      </c>
      <c r="J10" s="20"/>
      <c r="K10" s="9"/>
      <c r="L10" s="10"/>
      <c r="M10" s="10"/>
      <c r="N10" s="8"/>
      <c r="O10" s="8"/>
      <c r="P10" s="8"/>
      <c r="Q10" s="8"/>
      <c r="R10" s="11"/>
      <c r="V10" t="b">
        <f t="shared" si="1"/>
        <v>0</v>
      </c>
      <c r="X10" t="str">
        <f t="shared" si="2"/>
        <v>02.01.0640</v>
      </c>
    </row>
    <row r="11" spans="1:25" ht="28.8" x14ac:dyDescent="0.3">
      <c r="A11" s="19">
        <v>10</v>
      </c>
      <c r="B11" s="19">
        <v>1</v>
      </c>
      <c r="C11" s="19" t="s">
        <v>18</v>
      </c>
      <c r="D11" s="18" t="s">
        <v>430</v>
      </c>
      <c r="E11" s="16" t="s">
        <v>39</v>
      </c>
      <c r="F11" s="19" t="s">
        <v>30</v>
      </c>
      <c r="G11" s="25">
        <v>707.9</v>
      </c>
      <c r="H11" s="26">
        <v>1358.5</v>
      </c>
      <c r="I11" s="26">
        <f t="shared" si="0"/>
        <v>961682.15</v>
      </c>
      <c r="J11" s="20"/>
      <c r="K11" s="9"/>
      <c r="L11" s="10"/>
      <c r="M11" s="10"/>
      <c r="N11" s="8"/>
      <c r="O11" s="8"/>
      <c r="P11" s="8"/>
      <c r="Q11" s="8"/>
      <c r="R11" s="11"/>
      <c r="V11" t="b">
        <f t="shared" si="1"/>
        <v>0</v>
      </c>
      <c r="X11" t="str">
        <f t="shared" si="2"/>
        <v>02.01.0661</v>
      </c>
    </row>
    <row r="12" spans="1:25" ht="28.8" x14ac:dyDescent="0.3">
      <c r="A12" s="19">
        <v>11</v>
      </c>
      <c r="B12" s="19">
        <v>1</v>
      </c>
      <c r="C12" s="19" t="s">
        <v>18</v>
      </c>
      <c r="D12" s="18" t="s">
        <v>431</v>
      </c>
      <c r="E12" s="16" t="s">
        <v>40</v>
      </c>
      <c r="F12" s="19" t="s">
        <v>30</v>
      </c>
      <c r="G12" s="25">
        <v>197</v>
      </c>
      <c r="H12" s="26">
        <v>1187.5</v>
      </c>
      <c r="I12" s="26">
        <f t="shared" si="0"/>
        <v>233937.5</v>
      </c>
      <c r="J12" s="20"/>
      <c r="K12" s="9"/>
      <c r="L12" s="10"/>
      <c r="M12" s="10"/>
      <c r="N12" s="8"/>
      <c r="O12" s="8"/>
      <c r="P12" s="8"/>
      <c r="Q12" s="8"/>
      <c r="R12" s="11"/>
      <c r="V12" t="b">
        <f t="shared" si="1"/>
        <v>0</v>
      </c>
      <c r="X12" t="str">
        <f t="shared" si="2"/>
        <v>02.01.0693</v>
      </c>
    </row>
    <row r="13" spans="1:25" ht="28.8" x14ac:dyDescent="0.3">
      <c r="A13" s="19">
        <v>12</v>
      </c>
      <c r="B13" s="19">
        <v>1</v>
      </c>
      <c r="C13" s="19" t="s">
        <v>18</v>
      </c>
      <c r="D13" s="18" t="s">
        <v>432</v>
      </c>
      <c r="E13" s="16" t="s">
        <v>41</v>
      </c>
      <c r="F13" s="31" t="s">
        <v>30</v>
      </c>
      <c r="G13" s="25">
        <v>21.7</v>
      </c>
      <c r="H13" s="26">
        <v>1577</v>
      </c>
      <c r="I13" s="26">
        <f t="shared" si="0"/>
        <v>34220.9</v>
      </c>
      <c r="J13" s="20"/>
      <c r="K13" s="9"/>
      <c r="L13" s="10"/>
      <c r="M13" s="10"/>
      <c r="N13" s="8"/>
      <c r="O13" s="8"/>
      <c r="P13" s="8"/>
      <c r="Q13" s="8"/>
      <c r="R13" s="11"/>
      <c r="V13" t="b">
        <f t="shared" si="1"/>
        <v>0</v>
      </c>
      <c r="X13" t="str">
        <f t="shared" si="2"/>
        <v>02.01.0694</v>
      </c>
    </row>
    <row r="14" spans="1:25" ht="28.8" x14ac:dyDescent="0.3">
      <c r="A14" s="19">
        <v>13</v>
      </c>
      <c r="B14" s="19">
        <v>1</v>
      </c>
      <c r="C14" s="19" t="s">
        <v>18</v>
      </c>
      <c r="D14" s="18" t="s">
        <v>433</v>
      </c>
      <c r="E14" s="16" t="s">
        <v>42</v>
      </c>
      <c r="F14" s="31" t="s">
        <v>30</v>
      </c>
      <c r="G14" s="25">
        <v>188.2</v>
      </c>
      <c r="H14" s="26">
        <v>1216</v>
      </c>
      <c r="I14" s="26">
        <f t="shared" si="0"/>
        <v>228851.19999999998</v>
      </c>
      <c r="J14" s="20"/>
      <c r="K14" s="9"/>
      <c r="L14" s="10"/>
      <c r="M14" s="10"/>
      <c r="N14" s="8"/>
      <c r="O14" s="8"/>
      <c r="P14" s="8"/>
      <c r="Q14" s="8"/>
      <c r="R14" s="11"/>
      <c r="V14" t="b">
        <f t="shared" si="1"/>
        <v>0</v>
      </c>
      <c r="X14" t="str">
        <f t="shared" si="2"/>
        <v>02.01.0699</v>
      </c>
    </row>
    <row r="15" spans="1:25" ht="28.8" x14ac:dyDescent="0.3">
      <c r="A15" s="19">
        <v>14</v>
      </c>
      <c r="B15" s="19">
        <v>1</v>
      </c>
      <c r="C15" s="19" t="s">
        <v>18</v>
      </c>
      <c r="D15" s="18" t="s">
        <v>434</v>
      </c>
      <c r="E15" s="16" t="s">
        <v>43</v>
      </c>
      <c r="F15" s="31" t="s">
        <v>30</v>
      </c>
      <c r="G15" s="25">
        <v>116.1</v>
      </c>
      <c r="H15" s="26">
        <v>1396.5</v>
      </c>
      <c r="I15" s="26">
        <f t="shared" si="0"/>
        <v>162133.65</v>
      </c>
      <c r="J15" s="20"/>
      <c r="K15" s="9"/>
      <c r="L15" s="10"/>
      <c r="M15" s="10"/>
      <c r="N15" s="8"/>
      <c r="O15" s="8"/>
      <c r="P15" s="8"/>
      <c r="Q15" s="8"/>
      <c r="R15" s="11"/>
      <c r="V15" t="b">
        <f t="shared" si="1"/>
        <v>0</v>
      </c>
      <c r="X15" t="str">
        <f t="shared" si="2"/>
        <v>02.01.0708</v>
      </c>
    </row>
    <row r="16" spans="1:25" ht="28.8" x14ac:dyDescent="0.3">
      <c r="A16" s="19">
        <v>15</v>
      </c>
      <c r="B16" s="19">
        <v>1</v>
      </c>
      <c r="C16" s="19" t="s">
        <v>18</v>
      </c>
      <c r="D16" s="18" t="s">
        <v>435</v>
      </c>
      <c r="E16" s="16" t="s">
        <v>44</v>
      </c>
      <c r="F16" s="31" t="s">
        <v>30</v>
      </c>
      <c r="G16" s="25">
        <v>146.55000000000001</v>
      </c>
      <c r="H16" s="26">
        <v>1472</v>
      </c>
      <c r="I16" s="26">
        <f t="shared" si="0"/>
        <v>215721.60000000001</v>
      </c>
      <c r="J16" s="20"/>
      <c r="K16" s="9"/>
      <c r="L16" s="10"/>
      <c r="M16" s="10"/>
      <c r="N16" s="8"/>
      <c r="O16" s="8"/>
      <c r="P16" s="8"/>
      <c r="Q16" s="8"/>
      <c r="R16" s="11"/>
      <c r="V16" t="b">
        <f t="shared" si="1"/>
        <v>0</v>
      </c>
      <c r="X16" t="str">
        <f t="shared" si="2"/>
        <v>02.01.0709</v>
      </c>
    </row>
    <row r="17" spans="1:24" ht="28.8" x14ac:dyDescent="0.3">
      <c r="A17" s="19">
        <v>16</v>
      </c>
      <c r="B17" s="19">
        <v>1</v>
      </c>
      <c r="C17" s="19" t="s">
        <v>18</v>
      </c>
      <c r="D17" s="18" t="s">
        <v>436</v>
      </c>
      <c r="E17" s="16" t="s">
        <v>45</v>
      </c>
      <c r="F17" s="31" t="s">
        <v>30</v>
      </c>
      <c r="G17" s="25">
        <v>1440</v>
      </c>
      <c r="H17" s="26">
        <v>1283</v>
      </c>
      <c r="I17" s="26">
        <f t="shared" si="0"/>
        <v>1847520</v>
      </c>
      <c r="J17" s="20"/>
      <c r="K17" s="9"/>
      <c r="L17" s="10"/>
      <c r="M17" s="10"/>
      <c r="N17" s="8"/>
      <c r="O17" s="8"/>
      <c r="P17" s="8"/>
      <c r="Q17" s="8"/>
      <c r="R17" s="11"/>
      <c r="V17" t="b">
        <f t="shared" si="1"/>
        <v>0</v>
      </c>
      <c r="X17" t="str">
        <f t="shared" si="2"/>
        <v>02.01.0712</v>
      </c>
    </row>
    <row r="18" spans="1:24" ht="28.8" x14ac:dyDescent="0.3">
      <c r="A18" s="19">
        <v>17</v>
      </c>
      <c r="B18" s="19">
        <v>1</v>
      </c>
      <c r="C18" s="19" t="s">
        <v>18</v>
      </c>
      <c r="D18" s="18" t="s">
        <v>437</v>
      </c>
      <c r="E18" s="16" t="s">
        <v>46</v>
      </c>
      <c r="F18" s="31" t="s">
        <v>30</v>
      </c>
      <c r="G18" s="25">
        <v>2100</v>
      </c>
      <c r="H18" s="26">
        <v>1444</v>
      </c>
      <c r="I18" s="26">
        <f t="shared" si="0"/>
        <v>3032400</v>
      </c>
      <c r="J18" s="20"/>
      <c r="K18" s="9"/>
      <c r="L18" s="10"/>
      <c r="M18" s="10"/>
      <c r="N18" s="8"/>
      <c r="O18" s="8"/>
      <c r="P18" s="8"/>
      <c r="Q18" s="8"/>
      <c r="R18" s="11"/>
      <c r="V18" t="b">
        <f t="shared" si="1"/>
        <v>0</v>
      </c>
      <c r="X18" t="str">
        <f t="shared" si="2"/>
        <v>02.01.0713</v>
      </c>
    </row>
    <row r="19" spans="1:24" ht="28.8" x14ac:dyDescent="0.3">
      <c r="A19" s="19">
        <v>18</v>
      </c>
      <c r="B19" s="19">
        <v>1</v>
      </c>
      <c r="C19" s="19" t="s">
        <v>18</v>
      </c>
      <c r="D19" s="18" t="s">
        <v>438</v>
      </c>
      <c r="E19" s="16" t="s">
        <v>47</v>
      </c>
      <c r="F19" s="31" t="s">
        <v>30</v>
      </c>
      <c r="G19" s="25">
        <v>1710</v>
      </c>
      <c r="H19" s="26">
        <v>29</v>
      </c>
      <c r="I19" s="26">
        <f t="shared" si="0"/>
        <v>49590</v>
      </c>
      <c r="J19" s="20"/>
      <c r="K19" s="9"/>
      <c r="L19" s="10"/>
      <c r="M19" s="10"/>
      <c r="N19" s="8"/>
      <c r="O19" s="8"/>
      <c r="P19" s="8"/>
      <c r="Q19" s="8"/>
      <c r="R19" s="11"/>
      <c r="V19" t="b">
        <f t="shared" si="1"/>
        <v>0</v>
      </c>
      <c r="X19" t="str">
        <f t="shared" si="2"/>
        <v>02.01.0739</v>
      </c>
    </row>
    <row r="20" spans="1:24" ht="28.8" x14ac:dyDescent="0.3">
      <c r="A20" s="19">
        <v>19</v>
      </c>
      <c r="B20" s="19">
        <v>1</v>
      </c>
      <c r="C20" s="19" t="s">
        <v>18</v>
      </c>
      <c r="D20" s="18" t="s">
        <v>439</v>
      </c>
      <c r="E20" s="16" t="s">
        <v>48</v>
      </c>
      <c r="F20" s="31" t="s">
        <v>30</v>
      </c>
      <c r="G20" s="25">
        <v>4085.65</v>
      </c>
      <c r="H20" s="26">
        <v>39</v>
      </c>
      <c r="I20" s="26">
        <f t="shared" si="0"/>
        <v>159340.35</v>
      </c>
      <c r="J20" s="20"/>
      <c r="K20" s="9"/>
      <c r="L20" s="10"/>
      <c r="M20" s="10"/>
      <c r="N20" s="8"/>
      <c r="O20" s="8"/>
      <c r="P20" s="8"/>
      <c r="Q20" s="8"/>
      <c r="R20" s="11"/>
      <c r="V20" t="b">
        <f t="shared" si="1"/>
        <v>0</v>
      </c>
      <c r="X20" t="str">
        <f t="shared" si="2"/>
        <v>02.01.0740</v>
      </c>
    </row>
    <row r="21" spans="1:24" ht="43.2" x14ac:dyDescent="0.3">
      <c r="A21" s="19">
        <v>20</v>
      </c>
      <c r="B21" s="19">
        <v>1</v>
      </c>
      <c r="C21" s="19" t="s">
        <v>18</v>
      </c>
      <c r="D21" s="18" t="s">
        <v>440</v>
      </c>
      <c r="E21" s="16" t="s">
        <v>49</v>
      </c>
      <c r="F21" s="31" t="s">
        <v>30</v>
      </c>
      <c r="G21" s="25">
        <v>66.069999999999993</v>
      </c>
      <c r="H21" s="26">
        <v>1235</v>
      </c>
      <c r="I21" s="26">
        <f t="shared" si="0"/>
        <v>81596.45</v>
      </c>
      <c r="J21" s="20"/>
      <c r="K21" s="9"/>
      <c r="L21" s="10"/>
      <c r="M21" s="10"/>
      <c r="N21" s="8"/>
      <c r="O21" s="8"/>
      <c r="P21" s="8"/>
      <c r="Q21" s="8"/>
      <c r="R21" s="11"/>
      <c r="V21" t="b">
        <f t="shared" si="1"/>
        <v>0</v>
      </c>
      <c r="X21" t="str">
        <f t="shared" si="2"/>
        <v>02.01.0752</v>
      </c>
    </row>
    <row r="22" spans="1:24" ht="43.2" x14ac:dyDescent="0.3">
      <c r="A22" s="19">
        <v>21</v>
      </c>
      <c r="B22" s="19">
        <v>1</v>
      </c>
      <c r="C22" s="19" t="s">
        <v>18</v>
      </c>
      <c r="D22" s="18" t="s">
        <v>441</v>
      </c>
      <c r="E22" s="16" t="s">
        <v>50</v>
      </c>
      <c r="F22" s="31" t="s">
        <v>30</v>
      </c>
      <c r="G22" s="25">
        <v>5.96</v>
      </c>
      <c r="H22" s="26">
        <v>1197</v>
      </c>
      <c r="I22" s="26">
        <f t="shared" si="0"/>
        <v>7134.12</v>
      </c>
      <c r="J22" s="20"/>
      <c r="K22" s="9"/>
      <c r="L22" s="10"/>
      <c r="M22" s="10"/>
      <c r="N22" s="8"/>
      <c r="O22" s="8"/>
      <c r="P22" s="8"/>
      <c r="Q22" s="8"/>
      <c r="R22" s="11"/>
      <c r="V22" t="b">
        <f t="shared" si="1"/>
        <v>0</v>
      </c>
      <c r="X22" t="str">
        <f t="shared" si="2"/>
        <v>02.01.0753</v>
      </c>
    </row>
    <row r="23" spans="1:24" ht="43.2" x14ac:dyDescent="0.3">
      <c r="A23" s="19">
        <v>22</v>
      </c>
      <c r="B23" s="19">
        <v>1</v>
      </c>
      <c r="C23" s="19" t="s">
        <v>18</v>
      </c>
      <c r="D23" s="18" t="s">
        <v>442</v>
      </c>
      <c r="E23" s="16" t="s">
        <v>51</v>
      </c>
      <c r="F23" s="31" t="s">
        <v>28</v>
      </c>
      <c r="G23" s="25">
        <v>23908.53</v>
      </c>
      <c r="H23" s="26">
        <v>32</v>
      </c>
      <c r="I23" s="26">
        <f t="shared" si="0"/>
        <v>765072.96</v>
      </c>
      <c r="J23" s="20"/>
      <c r="K23" s="9"/>
      <c r="L23" s="10"/>
      <c r="M23" s="10"/>
      <c r="N23" s="8"/>
      <c r="O23" s="8"/>
      <c r="P23" s="8"/>
      <c r="Q23" s="8"/>
      <c r="R23" s="11"/>
      <c r="V23" t="b">
        <f t="shared" si="1"/>
        <v>0</v>
      </c>
      <c r="X23" t="str">
        <f t="shared" si="2"/>
        <v>02.01.0780</v>
      </c>
    </row>
    <row r="24" spans="1:24" ht="86.4" x14ac:dyDescent="0.3">
      <c r="A24" s="19">
        <v>23</v>
      </c>
      <c r="B24" s="19">
        <v>1</v>
      </c>
      <c r="C24" s="19" t="s">
        <v>18</v>
      </c>
      <c r="D24" s="18" t="s">
        <v>443</v>
      </c>
      <c r="E24" s="16" t="s">
        <v>52</v>
      </c>
      <c r="F24" s="31" t="s">
        <v>28</v>
      </c>
      <c r="G24" s="25">
        <v>1272</v>
      </c>
      <c r="H24" s="26">
        <v>70</v>
      </c>
      <c r="I24" s="26">
        <f t="shared" si="0"/>
        <v>89040</v>
      </c>
      <c r="J24" s="20"/>
      <c r="K24" s="9"/>
      <c r="L24" s="10"/>
      <c r="M24" s="10"/>
      <c r="N24" s="8"/>
      <c r="O24" s="8"/>
      <c r="P24" s="8"/>
      <c r="Q24" s="8"/>
      <c r="R24" s="11"/>
      <c r="V24" t="b">
        <f t="shared" si="1"/>
        <v>0</v>
      </c>
      <c r="X24" t="str">
        <f t="shared" si="2"/>
        <v>02.01.0790</v>
      </c>
    </row>
    <row r="25" spans="1:24" ht="28.8" x14ac:dyDescent="0.3">
      <c r="A25" s="19">
        <v>24</v>
      </c>
      <c r="B25" s="19">
        <v>1</v>
      </c>
      <c r="C25" s="19" t="s">
        <v>18</v>
      </c>
      <c r="D25" s="18" t="s">
        <v>444</v>
      </c>
      <c r="E25" s="16" t="s">
        <v>53</v>
      </c>
      <c r="F25" s="31" t="s">
        <v>30</v>
      </c>
      <c r="G25" s="25">
        <v>40</v>
      </c>
      <c r="H25" s="26">
        <v>370</v>
      </c>
      <c r="I25" s="26">
        <f t="shared" si="0"/>
        <v>14800</v>
      </c>
      <c r="J25" s="20"/>
      <c r="K25" s="9"/>
      <c r="L25" s="10"/>
      <c r="M25" s="10"/>
      <c r="N25" s="8"/>
      <c r="O25" s="8"/>
      <c r="P25" s="8"/>
      <c r="Q25" s="8"/>
      <c r="R25" s="11"/>
      <c r="V25" t="b">
        <f t="shared" si="1"/>
        <v>0</v>
      </c>
      <c r="X25" t="str">
        <f t="shared" si="2"/>
        <v>02.01.0802</v>
      </c>
    </row>
    <row r="26" spans="1:24" ht="57.6" x14ac:dyDescent="0.3">
      <c r="A26" s="19">
        <v>25</v>
      </c>
      <c r="B26" s="19">
        <v>1</v>
      </c>
      <c r="C26" s="19" t="s">
        <v>18</v>
      </c>
      <c r="D26" s="18" t="s">
        <v>445</v>
      </c>
      <c r="E26" s="16" t="s">
        <v>54</v>
      </c>
      <c r="F26" s="31" t="s">
        <v>26</v>
      </c>
      <c r="G26" s="25">
        <v>1608.55</v>
      </c>
      <c r="H26" s="26">
        <v>4050</v>
      </c>
      <c r="I26" s="26">
        <f t="shared" si="0"/>
        <v>6514627.5</v>
      </c>
      <c r="J26" s="20"/>
      <c r="K26" s="9"/>
      <c r="L26" s="10"/>
      <c r="M26" s="10"/>
      <c r="N26" s="8"/>
      <c r="O26" s="8"/>
      <c r="P26" s="8"/>
      <c r="Q26" s="8"/>
      <c r="R26" s="11"/>
      <c r="V26" t="b">
        <f t="shared" si="1"/>
        <v>0</v>
      </c>
      <c r="X26" t="str">
        <f t="shared" si="2"/>
        <v>02.01.0824</v>
      </c>
    </row>
    <row r="27" spans="1:24" ht="28.8" x14ac:dyDescent="0.3">
      <c r="A27" s="19">
        <v>26</v>
      </c>
      <c r="B27" s="19">
        <v>1</v>
      </c>
      <c r="C27" s="19" t="s">
        <v>18</v>
      </c>
      <c r="D27" s="18" t="s">
        <v>446</v>
      </c>
      <c r="E27" s="16" t="s">
        <v>55</v>
      </c>
      <c r="F27" s="31" t="s">
        <v>56</v>
      </c>
      <c r="G27" s="25">
        <v>3799.9</v>
      </c>
      <c r="H27" s="26">
        <v>28</v>
      </c>
      <c r="I27" s="26">
        <f t="shared" si="0"/>
        <v>106397.2</v>
      </c>
      <c r="J27" s="20"/>
      <c r="K27" s="9"/>
      <c r="L27" s="10"/>
      <c r="M27" s="10"/>
      <c r="N27" s="8"/>
      <c r="O27" s="8"/>
      <c r="P27" s="8"/>
      <c r="Q27" s="8"/>
      <c r="R27" s="11"/>
      <c r="V27" t="b">
        <f t="shared" si="1"/>
        <v>0</v>
      </c>
      <c r="X27" t="str">
        <f t="shared" si="2"/>
        <v>02.01.0990</v>
      </c>
    </row>
    <row r="28" spans="1:24" ht="57.6" x14ac:dyDescent="0.3">
      <c r="A28" s="19">
        <v>27</v>
      </c>
      <c r="B28" s="19">
        <v>1</v>
      </c>
      <c r="C28" s="19" t="s">
        <v>18</v>
      </c>
      <c r="D28" s="18" t="s">
        <v>447</v>
      </c>
      <c r="E28" s="16" t="s">
        <v>57</v>
      </c>
      <c r="F28" s="31" t="s">
        <v>28</v>
      </c>
      <c r="G28" s="25">
        <v>315.33</v>
      </c>
      <c r="H28" s="26">
        <v>38</v>
      </c>
      <c r="I28" s="26">
        <f t="shared" si="0"/>
        <v>11982.539999999999</v>
      </c>
      <c r="J28" s="20"/>
      <c r="K28" s="9"/>
      <c r="L28" s="10"/>
      <c r="M28" s="10"/>
      <c r="N28" s="8"/>
      <c r="O28" s="8"/>
      <c r="P28" s="8"/>
      <c r="Q28" s="8"/>
      <c r="R28" s="11"/>
      <c r="V28" t="b">
        <f t="shared" si="1"/>
        <v>0</v>
      </c>
      <c r="X28" t="str">
        <f t="shared" si="2"/>
        <v>02.01.1006</v>
      </c>
    </row>
    <row r="29" spans="1:24" ht="57.6" x14ac:dyDescent="0.3">
      <c r="A29" s="19">
        <v>28</v>
      </c>
      <c r="B29" s="19">
        <v>1</v>
      </c>
      <c r="C29" s="19" t="s">
        <v>18</v>
      </c>
      <c r="D29" s="18" t="s">
        <v>448</v>
      </c>
      <c r="E29" s="16" t="s">
        <v>58</v>
      </c>
      <c r="F29" s="31" t="s">
        <v>59</v>
      </c>
      <c r="G29" s="25">
        <v>12000</v>
      </c>
      <c r="H29" s="26">
        <v>93</v>
      </c>
      <c r="I29" s="26">
        <f t="shared" si="0"/>
        <v>1116000</v>
      </c>
      <c r="J29" s="20"/>
      <c r="K29" s="9"/>
      <c r="L29" s="10"/>
      <c r="M29" s="10"/>
      <c r="N29" s="8"/>
      <c r="O29" s="8"/>
      <c r="P29" s="8"/>
      <c r="Q29" s="8"/>
      <c r="R29" s="11"/>
      <c r="V29" t="b">
        <f t="shared" si="1"/>
        <v>0</v>
      </c>
      <c r="X29" t="str">
        <f t="shared" si="2"/>
        <v>02.01.1019</v>
      </c>
    </row>
    <row r="30" spans="1:24" ht="28.8" x14ac:dyDescent="0.3">
      <c r="A30" s="19">
        <v>29</v>
      </c>
      <c r="B30" s="19">
        <v>1</v>
      </c>
      <c r="C30" s="19" t="s">
        <v>18</v>
      </c>
      <c r="D30" s="18" t="s">
        <v>449</v>
      </c>
      <c r="E30" s="16" t="s">
        <v>60</v>
      </c>
      <c r="F30" s="31" t="s">
        <v>56</v>
      </c>
      <c r="G30" s="25">
        <v>3800</v>
      </c>
      <c r="H30" s="26">
        <v>22</v>
      </c>
      <c r="I30" s="26">
        <f t="shared" si="0"/>
        <v>83600</v>
      </c>
      <c r="J30" s="20"/>
      <c r="K30" s="9"/>
      <c r="L30" s="10"/>
      <c r="M30" s="10"/>
      <c r="N30" s="8"/>
      <c r="O30" s="8"/>
      <c r="P30" s="8"/>
      <c r="Q30" s="8"/>
      <c r="R30" s="11"/>
      <c r="V30" t="b">
        <f t="shared" si="1"/>
        <v>0</v>
      </c>
      <c r="X30" t="str">
        <f t="shared" si="2"/>
        <v>02.01.1020</v>
      </c>
    </row>
    <row r="31" spans="1:24" ht="43.2" x14ac:dyDescent="0.3">
      <c r="A31" s="19">
        <v>30</v>
      </c>
      <c r="B31" s="19">
        <v>1</v>
      </c>
      <c r="C31" s="19" t="s">
        <v>18</v>
      </c>
      <c r="D31" s="18" t="s">
        <v>450</v>
      </c>
      <c r="E31" s="16" t="s">
        <v>61</v>
      </c>
      <c r="F31" s="31" t="s">
        <v>59</v>
      </c>
      <c r="G31" s="25">
        <v>220.9</v>
      </c>
      <c r="H31" s="26">
        <v>78</v>
      </c>
      <c r="I31" s="26">
        <f t="shared" si="0"/>
        <v>17230.2</v>
      </c>
      <c r="J31" s="20"/>
      <c r="K31" s="9"/>
      <c r="L31" s="10"/>
      <c r="M31" s="10"/>
      <c r="N31" s="8"/>
      <c r="O31" s="8"/>
      <c r="P31" s="8"/>
      <c r="Q31" s="8"/>
      <c r="R31" s="11"/>
      <c r="V31" t="b">
        <f t="shared" si="1"/>
        <v>0</v>
      </c>
      <c r="X31" t="str">
        <f t="shared" si="2"/>
        <v>02.01.1021</v>
      </c>
    </row>
    <row r="32" spans="1:24" ht="158.4" x14ac:dyDescent="0.3">
      <c r="A32" s="19">
        <v>31</v>
      </c>
      <c r="B32" s="19">
        <v>1</v>
      </c>
      <c r="C32" s="19" t="s">
        <v>18</v>
      </c>
      <c r="D32" s="18" t="s">
        <v>451</v>
      </c>
      <c r="E32" s="16" t="s">
        <v>62</v>
      </c>
      <c r="F32" s="31" t="s">
        <v>59</v>
      </c>
      <c r="G32" s="25">
        <v>1988.4</v>
      </c>
      <c r="H32" s="26">
        <v>181</v>
      </c>
      <c r="I32" s="26">
        <f t="shared" si="0"/>
        <v>359900.4</v>
      </c>
      <c r="J32" s="20"/>
      <c r="K32" s="9"/>
      <c r="L32" s="10"/>
      <c r="M32" s="10"/>
      <c r="N32" s="8"/>
      <c r="O32" s="8"/>
      <c r="P32" s="8"/>
      <c r="Q32" s="8"/>
      <c r="R32" s="11"/>
      <c r="V32" t="b">
        <f t="shared" si="1"/>
        <v>0</v>
      </c>
      <c r="X32" t="str">
        <f t="shared" si="2"/>
        <v>02.01.1055</v>
      </c>
    </row>
    <row r="33" spans="1:24" ht="28.8" x14ac:dyDescent="0.3">
      <c r="A33" s="19">
        <v>32</v>
      </c>
      <c r="B33" s="19">
        <v>1</v>
      </c>
      <c r="C33" s="19" t="s">
        <v>18</v>
      </c>
      <c r="D33" s="18" t="s">
        <v>452</v>
      </c>
      <c r="E33" s="16" t="s">
        <v>63</v>
      </c>
      <c r="F33" s="31" t="s">
        <v>56</v>
      </c>
      <c r="G33" s="25">
        <v>206</v>
      </c>
      <c r="H33" s="26">
        <v>60</v>
      </c>
      <c r="I33" s="26">
        <f t="shared" si="0"/>
        <v>12360</v>
      </c>
      <c r="J33" s="20"/>
      <c r="K33" s="9"/>
      <c r="L33" s="10"/>
      <c r="M33" s="10"/>
      <c r="N33" s="8"/>
      <c r="O33" s="8"/>
      <c r="P33" s="8"/>
      <c r="Q33" s="8"/>
      <c r="R33" s="11"/>
      <c r="V33" t="b">
        <f t="shared" si="1"/>
        <v>0</v>
      </c>
      <c r="X33" t="str">
        <f t="shared" si="2"/>
        <v>02.01.1122</v>
      </c>
    </row>
    <row r="34" spans="1:24" ht="100.8" x14ac:dyDescent="0.3">
      <c r="A34" s="19">
        <v>33</v>
      </c>
      <c r="B34" s="19">
        <v>1</v>
      </c>
      <c r="C34" s="19" t="s">
        <v>19</v>
      </c>
      <c r="D34" s="18" t="s">
        <v>453</v>
      </c>
      <c r="E34" s="16" t="s">
        <v>64</v>
      </c>
      <c r="F34" s="31" t="s">
        <v>28</v>
      </c>
      <c r="G34" s="25">
        <v>17360</v>
      </c>
      <c r="H34" s="26">
        <v>45</v>
      </c>
      <c r="I34" s="26">
        <f t="shared" si="0"/>
        <v>781200</v>
      </c>
      <c r="J34" s="20"/>
      <c r="K34" s="9"/>
      <c r="L34" s="10"/>
      <c r="M34" s="10"/>
      <c r="N34" s="8"/>
      <c r="O34" s="8"/>
      <c r="P34" s="8"/>
      <c r="Q34" s="8"/>
      <c r="R34" s="11"/>
      <c r="V34" t="b">
        <f t="shared" si="1"/>
        <v>0</v>
      </c>
      <c r="X34" t="str">
        <f t="shared" si="2"/>
        <v>05.01.0011</v>
      </c>
    </row>
    <row r="35" spans="1:24" ht="100.8" x14ac:dyDescent="0.3">
      <c r="A35" s="19">
        <v>34</v>
      </c>
      <c r="B35" s="19">
        <v>1</v>
      </c>
      <c r="C35" s="19" t="s">
        <v>19</v>
      </c>
      <c r="D35" s="18" t="s">
        <v>454</v>
      </c>
      <c r="E35" s="16" t="s">
        <v>65</v>
      </c>
      <c r="F35" s="31" t="s">
        <v>28</v>
      </c>
      <c r="G35" s="25">
        <v>510</v>
      </c>
      <c r="H35" s="26">
        <v>52</v>
      </c>
      <c r="I35" s="26">
        <f t="shared" si="0"/>
        <v>26520</v>
      </c>
      <c r="J35" s="20"/>
      <c r="K35" s="9"/>
      <c r="L35" s="10"/>
      <c r="M35" s="10"/>
      <c r="N35" s="8"/>
      <c r="O35" s="8"/>
      <c r="P35" s="8"/>
      <c r="Q35" s="8"/>
      <c r="R35" s="11"/>
      <c r="V35" t="b">
        <f t="shared" si="1"/>
        <v>0</v>
      </c>
      <c r="X35" t="str">
        <f t="shared" si="2"/>
        <v>05.01.0012</v>
      </c>
    </row>
    <row r="36" spans="1:24" ht="28.8" x14ac:dyDescent="0.3">
      <c r="A36" s="19">
        <v>35</v>
      </c>
      <c r="B36" s="19">
        <v>1</v>
      </c>
      <c r="C36" s="19" t="s">
        <v>24</v>
      </c>
      <c r="D36" s="18" t="s">
        <v>455</v>
      </c>
      <c r="E36" s="16" t="s">
        <v>66</v>
      </c>
      <c r="F36" s="31" t="s">
        <v>59</v>
      </c>
      <c r="G36" s="25">
        <v>16878</v>
      </c>
      <c r="H36" s="26">
        <v>30</v>
      </c>
      <c r="I36" s="26">
        <f t="shared" si="0"/>
        <v>506340</v>
      </c>
      <c r="J36" s="20"/>
      <c r="K36" s="9"/>
      <c r="L36" s="10"/>
      <c r="M36" s="10"/>
      <c r="N36" s="8"/>
      <c r="O36" s="8"/>
      <c r="P36" s="8"/>
      <c r="Q36" s="8"/>
      <c r="R36" s="11"/>
      <c r="V36" t="b">
        <f t="shared" si="1"/>
        <v>0</v>
      </c>
      <c r="X36" t="str">
        <f t="shared" si="2"/>
        <v>08.10.0005</v>
      </c>
    </row>
    <row r="37" spans="1:24" ht="43.2" x14ac:dyDescent="0.3">
      <c r="A37" s="19">
        <v>36</v>
      </c>
      <c r="B37" s="19">
        <v>1</v>
      </c>
      <c r="C37" s="19" t="s">
        <v>24</v>
      </c>
      <c r="D37" s="18" t="s">
        <v>456</v>
      </c>
      <c r="E37" s="16" t="s">
        <v>67</v>
      </c>
      <c r="F37" s="31" t="s">
        <v>59</v>
      </c>
      <c r="G37" s="25">
        <v>1500</v>
      </c>
      <c r="H37" s="26">
        <v>40</v>
      </c>
      <c r="I37" s="26">
        <f t="shared" si="0"/>
        <v>60000</v>
      </c>
      <c r="J37" s="20"/>
      <c r="K37" s="9"/>
      <c r="L37" s="10"/>
      <c r="M37" s="10"/>
      <c r="N37" s="8"/>
      <c r="O37" s="8"/>
      <c r="P37" s="8"/>
      <c r="Q37" s="8"/>
      <c r="R37" s="11"/>
      <c r="V37" t="b">
        <f t="shared" si="1"/>
        <v>0</v>
      </c>
      <c r="X37" t="str">
        <f t="shared" si="2"/>
        <v>08.10.0015</v>
      </c>
    </row>
    <row r="38" spans="1:24" ht="43.2" x14ac:dyDescent="0.3">
      <c r="A38" s="19">
        <v>37</v>
      </c>
      <c r="B38" s="19">
        <v>1</v>
      </c>
      <c r="C38" s="19" t="s">
        <v>24</v>
      </c>
      <c r="D38" s="18" t="s">
        <v>457</v>
      </c>
      <c r="E38" s="16" t="s">
        <v>68</v>
      </c>
      <c r="F38" s="31" t="s">
        <v>30</v>
      </c>
      <c r="G38" s="25">
        <v>30</v>
      </c>
      <c r="H38" s="26">
        <v>376</v>
      </c>
      <c r="I38" s="26">
        <f t="shared" si="0"/>
        <v>11280</v>
      </c>
      <c r="J38" s="20"/>
      <c r="K38" s="9"/>
      <c r="L38" s="10"/>
      <c r="M38" s="10"/>
      <c r="N38" s="8"/>
      <c r="O38" s="8"/>
      <c r="P38" s="8"/>
      <c r="Q38" s="8"/>
      <c r="R38" s="11"/>
      <c r="V38" t="b">
        <f t="shared" si="1"/>
        <v>0</v>
      </c>
      <c r="X38" t="str">
        <f t="shared" si="2"/>
        <v>08.10.0040</v>
      </c>
    </row>
    <row r="39" spans="1:24" ht="86.4" x14ac:dyDescent="0.3">
      <c r="A39" s="19">
        <v>38</v>
      </c>
      <c r="B39" s="19">
        <v>1</v>
      </c>
      <c r="C39" s="19" t="s">
        <v>24</v>
      </c>
      <c r="D39" s="18" t="s">
        <v>458</v>
      </c>
      <c r="E39" s="16" t="s">
        <v>69</v>
      </c>
      <c r="F39" s="31" t="s">
        <v>59</v>
      </c>
      <c r="G39" s="25">
        <v>1100</v>
      </c>
      <c r="H39" s="26">
        <v>66</v>
      </c>
      <c r="I39" s="26">
        <f t="shared" si="0"/>
        <v>72600</v>
      </c>
      <c r="J39" s="20"/>
      <c r="K39" s="9"/>
      <c r="L39" s="10"/>
      <c r="M39" s="10"/>
      <c r="N39" s="8"/>
      <c r="O39" s="8"/>
      <c r="P39" s="8"/>
      <c r="Q39" s="8"/>
      <c r="R39" s="11"/>
      <c r="V39" t="b">
        <f t="shared" si="1"/>
        <v>0</v>
      </c>
      <c r="X39" t="str">
        <f t="shared" si="2"/>
        <v>08.10.0122</v>
      </c>
    </row>
    <row r="40" spans="1:24" ht="72" x14ac:dyDescent="0.3">
      <c r="A40" s="19">
        <v>39</v>
      </c>
      <c r="B40" s="19">
        <v>1</v>
      </c>
      <c r="C40" s="19" t="s">
        <v>24</v>
      </c>
      <c r="D40" s="18" t="s">
        <v>459</v>
      </c>
      <c r="E40" s="16" t="s">
        <v>70</v>
      </c>
      <c r="F40" s="31" t="s">
        <v>59</v>
      </c>
      <c r="G40" s="25">
        <v>1100</v>
      </c>
      <c r="H40" s="26">
        <v>104</v>
      </c>
      <c r="I40" s="26">
        <f t="shared" si="0"/>
        <v>114400</v>
      </c>
      <c r="J40" s="20"/>
      <c r="K40" s="9"/>
      <c r="L40" s="10"/>
      <c r="M40" s="10"/>
      <c r="N40" s="8"/>
      <c r="O40" s="8"/>
      <c r="P40" s="8"/>
      <c r="Q40" s="8"/>
      <c r="R40" s="11"/>
      <c r="V40" t="b">
        <f t="shared" si="1"/>
        <v>0</v>
      </c>
      <c r="X40" t="str">
        <f t="shared" si="2"/>
        <v>08.10.0123</v>
      </c>
    </row>
    <row r="41" spans="1:24" ht="43.2" x14ac:dyDescent="0.3">
      <c r="A41" s="19">
        <v>40</v>
      </c>
      <c r="B41" s="19">
        <v>1</v>
      </c>
      <c r="C41" s="19" t="s">
        <v>24</v>
      </c>
      <c r="D41" s="18" t="s">
        <v>460</v>
      </c>
      <c r="E41" s="16" t="s">
        <v>71</v>
      </c>
      <c r="F41" s="31" t="s">
        <v>56</v>
      </c>
      <c r="G41" s="25">
        <v>106</v>
      </c>
      <c r="H41" s="26">
        <v>1528</v>
      </c>
      <c r="I41" s="26">
        <f t="shared" si="0"/>
        <v>161968</v>
      </c>
      <c r="J41" s="20"/>
      <c r="K41" s="9"/>
      <c r="L41" s="10"/>
      <c r="M41" s="10"/>
      <c r="N41" s="8"/>
      <c r="O41" s="8"/>
      <c r="P41" s="8"/>
      <c r="Q41" s="8"/>
      <c r="R41" s="11"/>
      <c r="V41" t="b">
        <f t="shared" si="1"/>
        <v>0</v>
      </c>
      <c r="X41" t="str">
        <f t="shared" si="2"/>
        <v>08.10.0308</v>
      </c>
    </row>
    <row r="42" spans="1:24" ht="43.2" x14ac:dyDescent="0.3">
      <c r="A42" s="19">
        <v>41</v>
      </c>
      <c r="B42" s="19">
        <v>1</v>
      </c>
      <c r="C42" s="19" t="s">
        <v>24</v>
      </c>
      <c r="D42" s="18" t="s">
        <v>461</v>
      </c>
      <c r="E42" s="16" t="s">
        <v>72</v>
      </c>
      <c r="F42" s="31" t="s">
        <v>56</v>
      </c>
      <c r="G42" s="25">
        <v>10</v>
      </c>
      <c r="H42" s="26">
        <v>1992</v>
      </c>
      <c r="I42" s="26">
        <f t="shared" si="0"/>
        <v>19920</v>
      </c>
      <c r="J42" s="20"/>
      <c r="K42" s="9"/>
      <c r="L42" s="10"/>
      <c r="M42" s="10"/>
      <c r="N42" s="8"/>
      <c r="O42" s="8"/>
      <c r="P42" s="8"/>
      <c r="Q42" s="8"/>
      <c r="R42" s="11"/>
      <c r="V42" t="b">
        <f t="shared" si="1"/>
        <v>0</v>
      </c>
      <c r="X42" t="str">
        <f t="shared" si="2"/>
        <v>08.10.0309</v>
      </c>
    </row>
    <row r="43" spans="1:24" ht="57.6" x14ac:dyDescent="0.3">
      <c r="A43" s="19">
        <v>42</v>
      </c>
      <c r="B43" s="19">
        <v>1</v>
      </c>
      <c r="C43" s="19" t="s">
        <v>24</v>
      </c>
      <c r="D43" s="18" t="s">
        <v>462</v>
      </c>
      <c r="E43" s="16" t="s">
        <v>73</v>
      </c>
      <c r="F43" s="31" t="s">
        <v>56</v>
      </c>
      <c r="G43" s="25">
        <v>60</v>
      </c>
      <c r="H43" s="26">
        <v>208</v>
      </c>
      <c r="I43" s="26">
        <f t="shared" si="0"/>
        <v>12480</v>
      </c>
      <c r="J43" s="20"/>
      <c r="K43" s="9"/>
      <c r="L43" s="10"/>
      <c r="M43" s="10"/>
      <c r="N43" s="8"/>
      <c r="O43" s="8"/>
      <c r="P43" s="8"/>
      <c r="Q43" s="8"/>
      <c r="R43" s="11"/>
      <c r="V43" t="b">
        <f t="shared" si="1"/>
        <v>0</v>
      </c>
      <c r="X43" t="str">
        <f t="shared" si="2"/>
        <v>08.10.0375</v>
      </c>
    </row>
    <row r="44" spans="1:24" ht="57.6" x14ac:dyDescent="0.3">
      <c r="A44" s="19">
        <v>43</v>
      </c>
      <c r="B44" s="19">
        <v>1</v>
      </c>
      <c r="C44" s="19" t="s">
        <v>24</v>
      </c>
      <c r="D44" s="18" t="s">
        <v>463</v>
      </c>
      <c r="E44" s="16" t="s">
        <v>74</v>
      </c>
      <c r="F44" s="31" t="s">
        <v>56</v>
      </c>
      <c r="G44" s="25">
        <v>10</v>
      </c>
      <c r="H44" s="26">
        <v>296</v>
      </c>
      <c r="I44" s="26">
        <f t="shared" si="0"/>
        <v>2960</v>
      </c>
      <c r="J44" s="20"/>
      <c r="K44" s="9"/>
      <c r="L44" s="10"/>
      <c r="M44" s="10"/>
      <c r="N44" s="8"/>
      <c r="O44" s="8"/>
      <c r="P44" s="8"/>
      <c r="Q44" s="8"/>
      <c r="R44" s="11"/>
      <c r="V44" t="b">
        <f t="shared" si="1"/>
        <v>0</v>
      </c>
      <c r="X44" t="str">
        <f t="shared" si="2"/>
        <v>08.10.0376</v>
      </c>
    </row>
    <row r="45" spans="1:24" ht="72" x14ac:dyDescent="0.3">
      <c r="A45" s="19">
        <v>44</v>
      </c>
      <c r="B45" s="19">
        <v>1</v>
      </c>
      <c r="C45" s="19" t="s">
        <v>24</v>
      </c>
      <c r="D45" s="18" t="s">
        <v>464</v>
      </c>
      <c r="E45" s="16" t="s">
        <v>75</v>
      </c>
      <c r="F45" s="31" t="s">
        <v>56</v>
      </c>
      <c r="G45" s="25">
        <v>116</v>
      </c>
      <c r="H45" s="26">
        <v>512</v>
      </c>
      <c r="I45" s="26">
        <f t="shared" si="0"/>
        <v>59392</v>
      </c>
      <c r="J45" s="20"/>
      <c r="K45" s="9"/>
      <c r="L45" s="10"/>
      <c r="M45" s="10"/>
      <c r="N45" s="8"/>
      <c r="O45" s="8"/>
      <c r="P45" s="8"/>
      <c r="Q45" s="8"/>
      <c r="R45" s="11"/>
      <c r="V45" t="b">
        <f t="shared" si="1"/>
        <v>0</v>
      </c>
      <c r="X45" t="str">
        <f t="shared" si="2"/>
        <v>08.10.0392</v>
      </c>
    </row>
    <row r="46" spans="1:24" ht="28.8" x14ac:dyDescent="0.3">
      <c r="A46" s="19">
        <v>45</v>
      </c>
      <c r="B46" s="19">
        <v>1</v>
      </c>
      <c r="C46" s="19" t="s">
        <v>24</v>
      </c>
      <c r="D46" s="18" t="s">
        <v>465</v>
      </c>
      <c r="E46" s="16" t="s">
        <v>76</v>
      </c>
      <c r="F46" s="31" t="s">
        <v>56</v>
      </c>
      <c r="G46" s="25">
        <v>16</v>
      </c>
      <c r="H46" s="26">
        <v>1032</v>
      </c>
      <c r="I46" s="26">
        <f t="shared" si="0"/>
        <v>16512</v>
      </c>
      <c r="J46" s="20"/>
      <c r="K46" s="9"/>
      <c r="L46" s="10"/>
      <c r="M46" s="10"/>
      <c r="N46" s="8"/>
      <c r="O46" s="8"/>
      <c r="P46" s="8"/>
      <c r="Q46" s="8"/>
      <c r="R46" s="11"/>
      <c r="V46" t="b">
        <f t="shared" si="1"/>
        <v>0</v>
      </c>
      <c r="X46" t="str">
        <f t="shared" si="2"/>
        <v>08.10.0602</v>
      </c>
    </row>
    <row r="47" spans="1:24" ht="28.8" x14ac:dyDescent="0.3">
      <c r="A47" s="19">
        <v>46</v>
      </c>
      <c r="B47" s="19">
        <v>1</v>
      </c>
      <c r="C47" s="19" t="s">
        <v>24</v>
      </c>
      <c r="D47" s="18" t="s">
        <v>466</v>
      </c>
      <c r="E47" s="16" t="s">
        <v>77</v>
      </c>
      <c r="F47" s="31" t="s">
        <v>56</v>
      </c>
      <c r="G47" s="25">
        <v>60</v>
      </c>
      <c r="H47" s="26">
        <v>1176</v>
      </c>
      <c r="I47" s="26">
        <f t="shared" si="0"/>
        <v>70560</v>
      </c>
      <c r="J47" s="20"/>
      <c r="K47" s="9"/>
      <c r="L47" s="10"/>
      <c r="M47" s="10"/>
      <c r="N47" s="8"/>
      <c r="O47" s="8"/>
      <c r="P47" s="8"/>
      <c r="Q47" s="8"/>
      <c r="R47" s="11"/>
      <c r="V47" t="b">
        <f t="shared" si="1"/>
        <v>0</v>
      </c>
      <c r="X47" t="str">
        <f t="shared" si="2"/>
        <v>08.10.0603</v>
      </c>
    </row>
    <row r="48" spans="1:24" ht="28.8" x14ac:dyDescent="0.3">
      <c r="A48" s="19">
        <v>47</v>
      </c>
      <c r="B48" s="19">
        <v>1</v>
      </c>
      <c r="C48" s="19" t="s">
        <v>24</v>
      </c>
      <c r="D48" s="18" t="s">
        <v>467</v>
      </c>
      <c r="E48" s="16" t="s">
        <v>78</v>
      </c>
      <c r="F48" s="31" t="s">
        <v>56</v>
      </c>
      <c r="G48" s="25">
        <v>183</v>
      </c>
      <c r="H48" s="26">
        <v>1250</v>
      </c>
      <c r="I48" s="26">
        <f t="shared" si="0"/>
        <v>228750</v>
      </c>
      <c r="J48" s="20"/>
      <c r="K48" s="9"/>
      <c r="L48" s="10"/>
      <c r="M48" s="10"/>
      <c r="N48" s="8"/>
      <c r="O48" s="8"/>
      <c r="P48" s="8"/>
      <c r="Q48" s="8"/>
      <c r="R48" s="11"/>
      <c r="V48" t="b">
        <f t="shared" si="1"/>
        <v>0</v>
      </c>
      <c r="X48" t="str">
        <f t="shared" si="2"/>
        <v>08.10.0604</v>
      </c>
    </row>
    <row r="49" spans="1:24" ht="28.8" x14ac:dyDescent="0.3">
      <c r="A49" s="19">
        <v>48</v>
      </c>
      <c r="B49" s="19">
        <v>1</v>
      </c>
      <c r="C49" s="19" t="s">
        <v>24</v>
      </c>
      <c r="D49" s="18" t="s">
        <v>468</v>
      </c>
      <c r="E49" s="16" t="s">
        <v>79</v>
      </c>
      <c r="F49" s="31" t="s">
        <v>56</v>
      </c>
      <c r="G49" s="25">
        <v>10</v>
      </c>
      <c r="H49" s="26">
        <v>4500</v>
      </c>
      <c r="I49" s="26">
        <f t="shared" si="0"/>
        <v>45000</v>
      </c>
      <c r="J49" s="20"/>
      <c r="K49" s="9"/>
      <c r="L49" s="10"/>
      <c r="M49" s="10"/>
      <c r="N49" s="8"/>
      <c r="O49" s="8"/>
      <c r="P49" s="8"/>
      <c r="Q49" s="8"/>
      <c r="R49" s="11"/>
      <c r="V49" t="b">
        <f t="shared" si="1"/>
        <v>0</v>
      </c>
      <c r="X49" t="str">
        <f t="shared" si="2"/>
        <v>08.10.0605</v>
      </c>
    </row>
    <row r="50" spans="1:24" ht="43.2" x14ac:dyDescent="0.3">
      <c r="A50" s="19">
        <v>49</v>
      </c>
      <c r="B50" s="19">
        <v>1</v>
      </c>
      <c r="C50" s="19" t="s">
        <v>24</v>
      </c>
      <c r="D50" s="18" t="s">
        <v>469</v>
      </c>
      <c r="E50" s="16" t="s">
        <v>80</v>
      </c>
      <c r="F50" s="31" t="s">
        <v>56</v>
      </c>
      <c r="G50" s="25">
        <v>5</v>
      </c>
      <c r="H50" s="26">
        <v>8750</v>
      </c>
      <c r="I50" s="26">
        <f t="shared" si="0"/>
        <v>43750</v>
      </c>
      <c r="J50" s="20"/>
      <c r="K50" s="9"/>
      <c r="L50" s="10"/>
      <c r="M50" s="10"/>
      <c r="N50" s="8"/>
      <c r="O50" s="8"/>
      <c r="P50" s="8"/>
      <c r="Q50" s="8"/>
      <c r="R50" s="11"/>
      <c r="V50" t="b">
        <f t="shared" si="1"/>
        <v>0</v>
      </c>
      <c r="X50" t="str">
        <f t="shared" si="2"/>
        <v>08.10.0606</v>
      </c>
    </row>
    <row r="51" spans="1:24" ht="43.2" x14ac:dyDescent="0.3">
      <c r="A51" s="19">
        <v>50</v>
      </c>
      <c r="B51" s="19">
        <v>1</v>
      </c>
      <c r="C51" s="19" t="s">
        <v>24</v>
      </c>
      <c r="D51" s="18" t="s">
        <v>470</v>
      </c>
      <c r="E51" s="16" t="s">
        <v>81</v>
      </c>
      <c r="F51" s="19" t="s">
        <v>56</v>
      </c>
      <c r="G51" s="25">
        <v>12</v>
      </c>
      <c r="H51" s="26">
        <v>680</v>
      </c>
      <c r="I51" s="26">
        <f t="shared" si="0"/>
        <v>8160</v>
      </c>
      <c r="J51" s="20"/>
      <c r="K51" s="9"/>
      <c r="L51" s="10"/>
      <c r="M51" s="10"/>
      <c r="N51" s="8"/>
      <c r="O51" s="8"/>
      <c r="P51" s="8"/>
      <c r="Q51" s="8"/>
      <c r="R51" s="11"/>
      <c r="V51" t="b">
        <f t="shared" si="1"/>
        <v>0</v>
      </c>
      <c r="X51" t="str">
        <f t="shared" si="2"/>
        <v>08.10.0702</v>
      </c>
    </row>
    <row r="52" spans="1:24" ht="100.8" x14ac:dyDescent="0.3">
      <c r="A52" s="19">
        <v>51</v>
      </c>
      <c r="B52" s="19">
        <v>1</v>
      </c>
      <c r="C52" s="19" t="s">
        <v>24</v>
      </c>
      <c r="D52" s="18" t="s">
        <v>471</v>
      </c>
      <c r="E52" s="16" t="s">
        <v>82</v>
      </c>
      <c r="F52" s="31" t="s">
        <v>56</v>
      </c>
      <c r="G52" s="25">
        <v>27</v>
      </c>
      <c r="H52" s="26">
        <v>750</v>
      </c>
      <c r="I52" s="26">
        <f t="shared" si="0"/>
        <v>20250</v>
      </c>
      <c r="J52" s="20"/>
      <c r="K52" s="9"/>
      <c r="L52" s="10"/>
      <c r="M52" s="10"/>
      <c r="N52" s="8"/>
      <c r="O52" s="8"/>
      <c r="P52" s="8"/>
      <c r="Q52" s="8"/>
      <c r="R52" s="11"/>
      <c r="V52" t="b">
        <f t="shared" si="1"/>
        <v>0</v>
      </c>
      <c r="X52" t="str">
        <f t="shared" si="2"/>
        <v>08.10.0704</v>
      </c>
    </row>
    <row r="53" spans="1:24" ht="28.8" x14ac:dyDescent="0.3">
      <c r="A53" s="19">
        <v>52</v>
      </c>
      <c r="B53" s="19">
        <v>1</v>
      </c>
      <c r="C53" s="19" t="s">
        <v>24</v>
      </c>
      <c r="D53" s="18" t="s">
        <v>472</v>
      </c>
      <c r="E53" s="16" t="s">
        <v>83</v>
      </c>
      <c r="F53" s="31" t="s">
        <v>419</v>
      </c>
      <c r="G53" s="25">
        <v>10</v>
      </c>
      <c r="H53" s="26">
        <v>1100</v>
      </c>
      <c r="I53" s="26">
        <f t="shared" si="0"/>
        <v>11000</v>
      </c>
      <c r="J53" s="20"/>
      <c r="K53" s="9"/>
      <c r="L53" s="10"/>
      <c r="M53" s="10"/>
      <c r="N53" s="8"/>
      <c r="O53" s="8"/>
      <c r="P53" s="8"/>
      <c r="Q53" s="8"/>
      <c r="R53" s="11"/>
      <c r="V53" t="b">
        <f t="shared" si="1"/>
        <v>0</v>
      </c>
      <c r="X53" t="str">
        <f t="shared" si="2"/>
        <v>08.10.0705</v>
      </c>
    </row>
    <row r="54" spans="1:24" ht="57.6" x14ac:dyDescent="0.3">
      <c r="A54" s="19">
        <v>53</v>
      </c>
      <c r="B54" s="19">
        <v>1</v>
      </c>
      <c r="C54" s="19" t="s">
        <v>24</v>
      </c>
      <c r="D54" s="18" t="s">
        <v>473</v>
      </c>
      <c r="E54" s="16" t="s">
        <v>84</v>
      </c>
      <c r="F54" s="31" t="s">
        <v>419</v>
      </c>
      <c r="G54" s="25">
        <v>5</v>
      </c>
      <c r="H54" s="26">
        <v>1250</v>
      </c>
      <c r="I54" s="26">
        <f t="shared" si="0"/>
        <v>6250</v>
      </c>
      <c r="J54" s="20"/>
      <c r="K54" s="9"/>
      <c r="L54" s="10"/>
      <c r="M54" s="10"/>
      <c r="N54" s="8"/>
      <c r="O54" s="8"/>
      <c r="P54" s="8"/>
      <c r="Q54" s="8"/>
      <c r="R54" s="11"/>
      <c r="V54" t="b">
        <f t="shared" si="1"/>
        <v>0</v>
      </c>
      <c r="X54" t="str">
        <f t="shared" si="2"/>
        <v>08.10.0745</v>
      </c>
    </row>
    <row r="55" spans="1:24" ht="28.8" x14ac:dyDescent="0.3">
      <c r="A55" s="19">
        <v>54</v>
      </c>
      <c r="B55" s="19">
        <v>1</v>
      </c>
      <c r="C55" s="19" t="s">
        <v>24</v>
      </c>
      <c r="D55" s="18" t="s">
        <v>474</v>
      </c>
      <c r="E55" s="16" t="s">
        <v>85</v>
      </c>
      <c r="F55" s="31" t="s">
        <v>56</v>
      </c>
      <c r="G55" s="25">
        <v>16</v>
      </c>
      <c r="H55" s="26">
        <v>620</v>
      </c>
      <c r="I55" s="26">
        <f t="shared" si="0"/>
        <v>9920</v>
      </c>
      <c r="J55" s="20"/>
      <c r="K55" s="9"/>
      <c r="L55" s="10"/>
      <c r="M55" s="10"/>
      <c r="N55" s="8"/>
      <c r="O55" s="8"/>
      <c r="P55" s="8"/>
      <c r="Q55" s="8"/>
      <c r="R55" s="11"/>
      <c r="V55" t="b">
        <f t="shared" si="1"/>
        <v>0</v>
      </c>
      <c r="X55" t="str">
        <f t="shared" si="2"/>
        <v>08.10.0750</v>
      </c>
    </row>
    <row r="56" spans="1:24" ht="28.8" x14ac:dyDescent="0.3">
      <c r="A56" s="19">
        <v>55</v>
      </c>
      <c r="B56" s="19">
        <v>1</v>
      </c>
      <c r="C56" s="19" t="s">
        <v>24</v>
      </c>
      <c r="D56" s="18" t="s">
        <v>475</v>
      </c>
      <c r="E56" s="16" t="s">
        <v>86</v>
      </c>
      <c r="F56" s="31" t="s">
        <v>56</v>
      </c>
      <c r="G56" s="25">
        <v>60</v>
      </c>
      <c r="H56" s="26">
        <v>620</v>
      </c>
      <c r="I56" s="26">
        <f t="shared" si="0"/>
        <v>37200</v>
      </c>
      <c r="J56" s="20"/>
      <c r="K56" s="9"/>
      <c r="L56" s="10"/>
      <c r="M56" s="10"/>
      <c r="N56" s="8"/>
      <c r="O56" s="8"/>
      <c r="P56" s="8"/>
      <c r="Q56" s="8"/>
      <c r="R56" s="11"/>
      <c r="V56" t="b">
        <f t="shared" si="1"/>
        <v>0</v>
      </c>
      <c r="X56" t="str">
        <f t="shared" si="2"/>
        <v>08.10.0760</v>
      </c>
    </row>
    <row r="57" spans="1:24" ht="28.8" x14ac:dyDescent="0.3">
      <c r="A57" s="19">
        <v>56</v>
      </c>
      <c r="B57" s="19">
        <v>1</v>
      </c>
      <c r="C57" s="19" t="s">
        <v>24</v>
      </c>
      <c r="D57" s="18" t="s">
        <v>476</v>
      </c>
      <c r="E57" s="16" t="s">
        <v>87</v>
      </c>
      <c r="F57" s="31" t="s">
        <v>56</v>
      </c>
      <c r="G57" s="25">
        <v>170</v>
      </c>
      <c r="H57" s="26">
        <v>550</v>
      </c>
      <c r="I57" s="26">
        <f t="shared" si="0"/>
        <v>93500</v>
      </c>
      <c r="J57" s="20"/>
      <c r="K57" s="9"/>
      <c r="L57" s="10"/>
      <c r="M57" s="10"/>
      <c r="N57" s="8"/>
      <c r="O57" s="8"/>
      <c r="P57" s="8"/>
      <c r="Q57" s="8"/>
      <c r="R57" s="11"/>
      <c r="V57" t="b">
        <f t="shared" si="1"/>
        <v>0</v>
      </c>
      <c r="X57" t="str">
        <f t="shared" si="2"/>
        <v>08.10.0770</v>
      </c>
    </row>
    <row r="58" spans="1:24" ht="28.8" x14ac:dyDescent="0.3">
      <c r="A58" s="19">
        <v>57</v>
      </c>
      <c r="B58" s="19">
        <v>1</v>
      </c>
      <c r="C58" s="18" t="s">
        <v>24</v>
      </c>
      <c r="D58" s="15" t="s">
        <v>477</v>
      </c>
      <c r="E58" s="16" t="s">
        <v>88</v>
      </c>
      <c r="F58" s="19" t="s">
        <v>59</v>
      </c>
      <c r="G58" s="22">
        <v>300</v>
      </c>
      <c r="H58" s="26">
        <v>7</v>
      </c>
      <c r="I58" s="26">
        <f t="shared" si="0"/>
        <v>2100</v>
      </c>
      <c r="V58" t="b">
        <f t="shared" si="1"/>
        <v>0</v>
      </c>
      <c r="X58" t="str">
        <f t="shared" si="2"/>
        <v>08.10.0901</v>
      </c>
    </row>
    <row r="59" spans="1:24" ht="28.8" x14ac:dyDescent="0.3">
      <c r="A59" s="19">
        <v>58</v>
      </c>
      <c r="B59" s="19">
        <v>1</v>
      </c>
      <c r="C59" s="18" t="s">
        <v>24</v>
      </c>
      <c r="D59" s="15" t="s">
        <v>478</v>
      </c>
      <c r="E59" s="16" t="s">
        <v>89</v>
      </c>
      <c r="F59" s="31" t="s">
        <v>59</v>
      </c>
      <c r="G59" s="22">
        <v>22300</v>
      </c>
      <c r="H59" s="26">
        <v>8</v>
      </c>
      <c r="I59" s="26">
        <f t="shared" si="0"/>
        <v>178400</v>
      </c>
      <c r="J59" s="2"/>
      <c r="K59" s="2"/>
      <c r="N59" s="8"/>
      <c r="O59" s="8"/>
      <c r="P59" s="8"/>
      <c r="Q59" s="8"/>
      <c r="V59" t="b">
        <f t="shared" si="1"/>
        <v>0</v>
      </c>
      <c r="X59" t="str">
        <f t="shared" si="2"/>
        <v>08.10.0903</v>
      </c>
    </row>
    <row r="60" spans="1:24" ht="28.8" x14ac:dyDescent="0.3">
      <c r="A60" s="19">
        <v>59</v>
      </c>
      <c r="B60" s="19">
        <v>1</v>
      </c>
      <c r="C60" s="18" t="s">
        <v>24</v>
      </c>
      <c r="D60" s="15" t="s">
        <v>479</v>
      </c>
      <c r="E60" s="16" t="s">
        <v>90</v>
      </c>
      <c r="F60" s="31" t="s">
        <v>59</v>
      </c>
      <c r="G60" s="27">
        <v>4700</v>
      </c>
      <c r="H60" s="26">
        <v>26</v>
      </c>
      <c r="I60" s="26">
        <f t="shared" si="0"/>
        <v>122200</v>
      </c>
      <c r="V60" t="b">
        <f t="shared" si="1"/>
        <v>0</v>
      </c>
      <c r="X60" t="str">
        <f t="shared" si="2"/>
        <v>08.10.0909</v>
      </c>
    </row>
    <row r="61" spans="1:24" ht="72" x14ac:dyDescent="0.3">
      <c r="A61" s="19">
        <v>60</v>
      </c>
      <c r="B61" s="19">
        <v>1</v>
      </c>
      <c r="C61" s="18" t="s">
        <v>24</v>
      </c>
      <c r="D61" s="18" t="s">
        <v>480</v>
      </c>
      <c r="E61" s="16" t="s">
        <v>91</v>
      </c>
      <c r="F61" s="31" t="s">
        <v>59</v>
      </c>
      <c r="G61" s="27">
        <v>6000</v>
      </c>
      <c r="H61" s="26">
        <v>22</v>
      </c>
      <c r="I61" s="26">
        <f t="shared" si="0"/>
        <v>132000</v>
      </c>
      <c r="V61" t="b">
        <f t="shared" si="1"/>
        <v>0</v>
      </c>
      <c r="X61" t="str">
        <f t="shared" si="2"/>
        <v>08.10.0957</v>
      </c>
    </row>
    <row r="62" spans="1:24" ht="72" x14ac:dyDescent="0.3">
      <c r="A62" s="19">
        <v>61</v>
      </c>
      <c r="B62" s="19">
        <v>1</v>
      </c>
      <c r="C62" s="18" t="s">
        <v>24</v>
      </c>
      <c r="D62" s="18" t="s">
        <v>481</v>
      </c>
      <c r="E62" s="16" t="s">
        <v>92</v>
      </c>
      <c r="F62" s="31" t="s">
        <v>59</v>
      </c>
      <c r="G62" s="27">
        <v>5700</v>
      </c>
      <c r="H62" s="26">
        <v>8</v>
      </c>
      <c r="I62" s="26">
        <f t="shared" si="0"/>
        <v>45600</v>
      </c>
      <c r="V62" t="b">
        <f t="shared" si="1"/>
        <v>0</v>
      </c>
      <c r="X62" t="str">
        <f t="shared" si="2"/>
        <v>08.10.1315</v>
      </c>
    </row>
    <row r="63" spans="1:24" ht="57.6" x14ac:dyDescent="0.3">
      <c r="A63" s="19">
        <v>62</v>
      </c>
      <c r="B63" s="19">
        <v>1</v>
      </c>
      <c r="C63" s="18" t="s">
        <v>24</v>
      </c>
      <c r="D63" s="18" t="s">
        <v>482</v>
      </c>
      <c r="E63" s="16" t="s">
        <v>93</v>
      </c>
      <c r="F63" s="31" t="s">
        <v>59</v>
      </c>
      <c r="G63" s="27">
        <v>350</v>
      </c>
      <c r="H63" s="26">
        <v>12</v>
      </c>
      <c r="I63" s="26">
        <f t="shared" si="0"/>
        <v>4200</v>
      </c>
      <c r="V63" t="b">
        <f t="shared" si="1"/>
        <v>0</v>
      </c>
      <c r="X63" t="str">
        <f t="shared" si="2"/>
        <v>08.10.1336</v>
      </c>
    </row>
    <row r="64" spans="1:24" ht="28.8" x14ac:dyDescent="0.3">
      <c r="A64" s="19">
        <v>63</v>
      </c>
      <c r="B64" s="19">
        <v>1</v>
      </c>
      <c r="C64" s="18" t="s">
        <v>24</v>
      </c>
      <c r="D64" s="18" t="s">
        <v>483</v>
      </c>
      <c r="E64" s="16" t="s">
        <v>94</v>
      </c>
      <c r="F64" s="31" t="s">
        <v>59</v>
      </c>
      <c r="G64" s="27">
        <v>9400</v>
      </c>
      <c r="H64" s="26">
        <v>20</v>
      </c>
      <c r="I64" s="26">
        <f t="shared" si="0"/>
        <v>188000</v>
      </c>
      <c r="V64" t="b">
        <f t="shared" si="1"/>
        <v>0</v>
      </c>
      <c r="X64" t="str">
        <f t="shared" si="2"/>
        <v>08.10.1700</v>
      </c>
    </row>
    <row r="65" spans="1:24" ht="28.8" x14ac:dyDescent="0.3">
      <c r="A65" s="19">
        <v>64</v>
      </c>
      <c r="B65" s="19">
        <v>1</v>
      </c>
      <c r="C65" s="18" t="s">
        <v>24</v>
      </c>
      <c r="D65" s="18" t="s">
        <v>484</v>
      </c>
      <c r="E65" s="16" t="s">
        <v>95</v>
      </c>
      <c r="F65" s="31" t="s">
        <v>59</v>
      </c>
      <c r="G65" s="27">
        <v>600</v>
      </c>
      <c r="H65" s="26">
        <v>30</v>
      </c>
      <c r="I65" s="26">
        <f t="shared" si="0"/>
        <v>18000</v>
      </c>
      <c r="V65" t="b">
        <f t="shared" si="1"/>
        <v>0</v>
      </c>
      <c r="X65" t="str">
        <f t="shared" si="2"/>
        <v>08.10.1706</v>
      </c>
    </row>
    <row r="66" spans="1:24" ht="28.8" x14ac:dyDescent="0.3">
      <c r="A66" s="19">
        <v>65</v>
      </c>
      <c r="B66" s="19">
        <v>1</v>
      </c>
      <c r="C66" s="18" t="s">
        <v>24</v>
      </c>
      <c r="D66" s="18" t="s">
        <v>485</v>
      </c>
      <c r="E66" s="16" t="s">
        <v>96</v>
      </c>
      <c r="F66" s="31" t="s">
        <v>59</v>
      </c>
      <c r="G66" s="27">
        <v>750</v>
      </c>
      <c r="H66" s="26">
        <v>36</v>
      </c>
      <c r="I66" s="26">
        <f t="shared" si="0"/>
        <v>27000</v>
      </c>
      <c r="V66" t="b">
        <f t="shared" si="1"/>
        <v>0</v>
      </c>
      <c r="X66" t="str">
        <f t="shared" si="2"/>
        <v>08.10.1712</v>
      </c>
    </row>
    <row r="67" spans="1:24" ht="28.8" x14ac:dyDescent="0.3">
      <c r="A67" s="19">
        <v>66</v>
      </c>
      <c r="B67" s="19">
        <v>1</v>
      </c>
      <c r="C67" s="18" t="s">
        <v>24</v>
      </c>
      <c r="D67" s="18" t="s">
        <v>486</v>
      </c>
      <c r="E67" s="16" t="s">
        <v>97</v>
      </c>
      <c r="F67" s="31" t="s">
        <v>59</v>
      </c>
      <c r="G67" s="27">
        <v>13900</v>
      </c>
      <c r="H67" s="26">
        <v>40</v>
      </c>
      <c r="I67" s="26">
        <f t="shared" ref="I67:I130" si="3">H67*G67</f>
        <v>556000</v>
      </c>
      <c r="V67" t="b">
        <f t="shared" ref="V67:V130" si="4">COUNTIF($D:$D, D67) &gt; 1</f>
        <v>0</v>
      </c>
      <c r="X67" t="str">
        <f t="shared" ref="X67:X130" si="5">MID(D67,3,LEN(D67)-2)</f>
        <v>08.10.1721</v>
      </c>
    </row>
    <row r="68" spans="1:24" ht="28.8" x14ac:dyDescent="0.3">
      <c r="A68" s="19">
        <v>67</v>
      </c>
      <c r="B68" s="19">
        <v>1</v>
      </c>
      <c r="C68" s="18" t="s">
        <v>24</v>
      </c>
      <c r="D68" s="18" t="s">
        <v>487</v>
      </c>
      <c r="E68" s="16" t="s">
        <v>98</v>
      </c>
      <c r="F68" s="31" t="s">
        <v>59</v>
      </c>
      <c r="G68" s="27">
        <v>24650</v>
      </c>
      <c r="H68" s="26">
        <v>15</v>
      </c>
      <c r="I68" s="26">
        <f t="shared" si="3"/>
        <v>369750</v>
      </c>
      <c r="V68" t="b">
        <f t="shared" si="4"/>
        <v>0</v>
      </c>
      <c r="X68" t="str">
        <f t="shared" si="5"/>
        <v>08.10.1963</v>
      </c>
    </row>
    <row r="69" spans="1:24" ht="115.2" x14ac:dyDescent="0.3">
      <c r="A69" s="19">
        <v>68</v>
      </c>
      <c r="B69" s="19">
        <v>1</v>
      </c>
      <c r="C69" s="18" t="s">
        <v>24</v>
      </c>
      <c r="D69" s="18" t="s">
        <v>488</v>
      </c>
      <c r="E69" s="16" t="s">
        <v>99</v>
      </c>
      <c r="F69" s="31" t="s">
        <v>59</v>
      </c>
      <c r="G69" s="27">
        <v>4000</v>
      </c>
      <c r="H69" s="26">
        <v>15</v>
      </c>
      <c r="I69" s="26">
        <f t="shared" si="3"/>
        <v>60000</v>
      </c>
      <c r="V69" t="b">
        <f t="shared" si="4"/>
        <v>0</v>
      </c>
      <c r="X69" t="str">
        <f t="shared" si="5"/>
        <v>08.10.2102</v>
      </c>
    </row>
    <row r="70" spans="1:24" ht="43.2" x14ac:dyDescent="0.3">
      <c r="A70" s="19">
        <v>69</v>
      </c>
      <c r="B70" s="19">
        <v>1</v>
      </c>
      <c r="C70" s="18" t="s">
        <v>24</v>
      </c>
      <c r="D70" s="18" t="s">
        <v>489</v>
      </c>
      <c r="E70" s="16" t="s">
        <v>100</v>
      </c>
      <c r="F70" s="31" t="s">
        <v>56</v>
      </c>
      <c r="G70" s="27">
        <v>79</v>
      </c>
      <c r="H70" s="26">
        <v>240</v>
      </c>
      <c r="I70" s="26">
        <f t="shared" si="3"/>
        <v>18960</v>
      </c>
      <c r="V70" t="b">
        <f t="shared" si="4"/>
        <v>0</v>
      </c>
      <c r="X70" t="str">
        <f t="shared" si="5"/>
        <v>08.10.2105</v>
      </c>
    </row>
    <row r="71" spans="1:24" ht="86.4" x14ac:dyDescent="0.3">
      <c r="A71" s="19">
        <v>70</v>
      </c>
      <c r="B71" s="19">
        <v>1</v>
      </c>
      <c r="C71" s="18" t="s">
        <v>24</v>
      </c>
      <c r="D71" s="18" t="s">
        <v>490</v>
      </c>
      <c r="E71" s="16" t="s">
        <v>101</v>
      </c>
      <c r="F71" s="31" t="s">
        <v>56</v>
      </c>
      <c r="G71" s="27">
        <v>79</v>
      </c>
      <c r="H71" s="26">
        <v>528</v>
      </c>
      <c r="I71" s="26">
        <f t="shared" si="3"/>
        <v>41712</v>
      </c>
      <c r="V71" t="b">
        <f t="shared" si="4"/>
        <v>0</v>
      </c>
      <c r="X71" t="str">
        <f t="shared" si="5"/>
        <v>08.10.2108</v>
      </c>
    </row>
    <row r="72" spans="1:24" ht="28.8" x14ac:dyDescent="0.3">
      <c r="A72" s="19">
        <v>71</v>
      </c>
      <c r="B72" s="19">
        <v>1</v>
      </c>
      <c r="C72" s="18" t="s">
        <v>24</v>
      </c>
      <c r="D72" s="18" t="s">
        <v>491</v>
      </c>
      <c r="E72" s="16" t="s">
        <v>102</v>
      </c>
      <c r="F72" s="31" t="s">
        <v>56</v>
      </c>
      <c r="G72" s="27">
        <v>60</v>
      </c>
      <c r="H72" s="26">
        <v>2752</v>
      </c>
      <c r="I72" s="26">
        <f t="shared" si="3"/>
        <v>165120</v>
      </c>
      <c r="V72" t="b">
        <f t="shared" si="4"/>
        <v>0</v>
      </c>
      <c r="X72" t="str">
        <f t="shared" si="5"/>
        <v>08.10.2378</v>
      </c>
    </row>
    <row r="73" spans="1:24" ht="28.8" x14ac:dyDescent="0.3">
      <c r="A73" s="19">
        <v>72</v>
      </c>
      <c r="B73" s="19">
        <v>1</v>
      </c>
      <c r="C73" s="18" t="s">
        <v>24</v>
      </c>
      <c r="D73" s="18" t="s">
        <v>492</v>
      </c>
      <c r="E73" s="16" t="s">
        <v>103</v>
      </c>
      <c r="F73" s="31" t="s">
        <v>56</v>
      </c>
      <c r="G73" s="27">
        <v>183</v>
      </c>
      <c r="H73" s="26">
        <v>3150</v>
      </c>
      <c r="I73" s="26">
        <f t="shared" si="3"/>
        <v>576450</v>
      </c>
      <c r="V73" t="b">
        <f t="shared" si="4"/>
        <v>0</v>
      </c>
      <c r="X73" t="str">
        <f t="shared" si="5"/>
        <v>08.10.2380</v>
      </c>
    </row>
    <row r="74" spans="1:24" ht="28.8" x14ac:dyDescent="0.3">
      <c r="A74" s="19">
        <v>73</v>
      </c>
      <c r="B74" s="19">
        <v>1</v>
      </c>
      <c r="C74" s="18" t="s">
        <v>24</v>
      </c>
      <c r="D74" s="18" t="s">
        <v>493</v>
      </c>
      <c r="E74" s="16" t="s">
        <v>104</v>
      </c>
      <c r="F74" s="31" t="s">
        <v>56</v>
      </c>
      <c r="G74" s="27">
        <v>71</v>
      </c>
      <c r="H74" s="26">
        <v>8800</v>
      </c>
      <c r="I74" s="26">
        <f t="shared" si="3"/>
        <v>624800</v>
      </c>
      <c r="V74" t="b">
        <f t="shared" si="4"/>
        <v>0</v>
      </c>
      <c r="X74" t="str">
        <f t="shared" si="5"/>
        <v>08.10.2382</v>
      </c>
    </row>
    <row r="75" spans="1:24" ht="129.6" x14ac:dyDescent="0.3">
      <c r="A75" s="19">
        <v>74</v>
      </c>
      <c r="B75" s="19">
        <v>1</v>
      </c>
      <c r="C75" s="18" t="s">
        <v>24</v>
      </c>
      <c r="D75" s="18" t="s">
        <v>494</v>
      </c>
      <c r="E75" s="16" t="s">
        <v>105</v>
      </c>
      <c r="F75" s="31" t="s">
        <v>56</v>
      </c>
      <c r="G75" s="27">
        <v>9</v>
      </c>
      <c r="H75" s="26">
        <v>62000</v>
      </c>
      <c r="I75" s="26">
        <f t="shared" si="3"/>
        <v>558000</v>
      </c>
      <c r="V75" t="b">
        <f t="shared" si="4"/>
        <v>0</v>
      </c>
      <c r="X75" t="str">
        <f t="shared" si="5"/>
        <v>08.10.2503</v>
      </c>
    </row>
    <row r="76" spans="1:24" ht="100.8" x14ac:dyDescent="0.3">
      <c r="A76" s="19">
        <v>75</v>
      </c>
      <c r="B76" s="19">
        <v>1</v>
      </c>
      <c r="C76" s="18" t="s">
        <v>24</v>
      </c>
      <c r="D76" s="18" t="s">
        <v>495</v>
      </c>
      <c r="E76" s="16" t="s">
        <v>106</v>
      </c>
      <c r="F76" s="31" t="s">
        <v>56</v>
      </c>
      <c r="G76" s="27">
        <v>9</v>
      </c>
      <c r="H76" s="26">
        <v>2584</v>
      </c>
      <c r="I76" s="26">
        <f t="shared" si="3"/>
        <v>23256</v>
      </c>
      <c r="V76" t="b">
        <f t="shared" si="4"/>
        <v>0</v>
      </c>
      <c r="X76" t="str">
        <f t="shared" si="5"/>
        <v>08.10.2532</v>
      </c>
    </row>
    <row r="77" spans="1:24" ht="57.6" x14ac:dyDescent="0.3">
      <c r="A77" s="19">
        <v>76</v>
      </c>
      <c r="B77" s="19">
        <v>1</v>
      </c>
      <c r="C77" s="18" t="s">
        <v>24</v>
      </c>
      <c r="D77" s="18" t="s">
        <v>496</v>
      </c>
      <c r="E77" s="16" t="s">
        <v>107</v>
      </c>
      <c r="F77" s="31" t="s">
        <v>56</v>
      </c>
      <c r="G77" s="27">
        <v>16</v>
      </c>
      <c r="H77" s="26">
        <v>2752</v>
      </c>
      <c r="I77" s="26">
        <f t="shared" si="3"/>
        <v>44032</v>
      </c>
      <c r="V77" t="b">
        <f t="shared" si="4"/>
        <v>0</v>
      </c>
      <c r="X77" t="str">
        <f t="shared" si="5"/>
        <v>08.10.2590</v>
      </c>
    </row>
    <row r="78" spans="1:24" ht="28.8" x14ac:dyDescent="0.3">
      <c r="A78" s="19">
        <v>77</v>
      </c>
      <c r="B78" s="19">
        <v>1</v>
      </c>
      <c r="C78" s="18" t="s">
        <v>24</v>
      </c>
      <c r="D78" s="18" t="s">
        <v>497</v>
      </c>
      <c r="E78" s="16" t="s">
        <v>108</v>
      </c>
      <c r="F78" s="31" t="s">
        <v>56</v>
      </c>
      <c r="G78" s="27">
        <v>25</v>
      </c>
      <c r="H78" s="26">
        <v>276</v>
      </c>
      <c r="I78" s="26">
        <f t="shared" si="3"/>
        <v>6900</v>
      </c>
      <c r="V78" t="b">
        <f t="shared" si="4"/>
        <v>0</v>
      </c>
      <c r="X78" t="str">
        <f t="shared" si="5"/>
        <v>08.10.2651</v>
      </c>
    </row>
    <row r="79" spans="1:24" ht="28.8" x14ac:dyDescent="0.3">
      <c r="A79" s="19">
        <v>78</v>
      </c>
      <c r="B79" s="19">
        <v>1</v>
      </c>
      <c r="C79" s="18" t="s">
        <v>24</v>
      </c>
      <c r="D79" s="18" t="s">
        <v>498</v>
      </c>
      <c r="E79" s="16" t="s">
        <v>109</v>
      </c>
      <c r="F79" s="31" t="s">
        <v>56</v>
      </c>
      <c r="G79" s="27">
        <v>72</v>
      </c>
      <c r="H79" s="26">
        <v>732</v>
      </c>
      <c r="I79" s="26">
        <f t="shared" si="3"/>
        <v>52704</v>
      </c>
      <c r="V79" t="b">
        <f t="shared" si="4"/>
        <v>0</v>
      </c>
      <c r="X79" t="str">
        <f t="shared" si="5"/>
        <v>08.10.2653</v>
      </c>
    </row>
    <row r="80" spans="1:24" ht="28.8" x14ac:dyDescent="0.3">
      <c r="A80" s="19">
        <v>79</v>
      </c>
      <c r="B80" s="19">
        <v>1</v>
      </c>
      <c r="C80" s="18" t="s">
        <v>24</v>
      </c>
      <c r="D80" s="18" t="s">
        <v>499</v>
      </c>
      <c r="E80" s="16" t="s">
        <v>110</v>
      </c>
      <c r="F80" s="31" t="s">
        <v>56</v>
      </c>
      <c r="G80" s="27">
        <v>113</v>
      </c>
      <c r="H80" s="26">
        <v>556</v>
      </c>
      <c r="I80" s="26">
        <f t="shared" si="3"/>
        <v>62828</v>
      </c>
      <c r="V80" t="b">
        <f t="shared" si="4"/>
        <v>0</v>
      </c>
      <c r="X80" t="str">
        <f t="shared" si="5"/>
        <v>08.10.2656</v>
      </c>
    </row>
    <row r="81" spans="1:24" ht="43.2" x14ac:dyDescent="0.3">
      <c r="A81" s="19">
        <v>80</v>
      </c>
      <c r="B81" s="19">
        <v>1</v>
      </c>
      <c r="C81" s="18" t="s">
        <v>24</v>
      </c>
      <c r="D81" s="18" t="s">
        <v>500</v>
      </c>
      <c r="E81" s="16" t="s">
        <v>111</v>
      </c>
      <c r="F81" s="31" t="s">
        <v>56</v>
      </c>
      <c r="G81" s="27">
        <v>52</v>
      </c>
      <c r="H81" s="26">
        <v>1296</v>
      </c>
      <c r="I81" s="26">
        <f t="shared" si="3"/>
        <v>67392</v>
      </c>
      <c r="V81" t="b">
        <f t="shared" si="4"/>
        <v>0</v>
      </c>
      <c r="X81" t="str">
        <f t="shared" si="5"/>
        <v>08.10.2659</v>
      </c>
    </row>
    <row r="82" spans="1:24" ht="43.2" x14ac:dyDescent="0.3">
      <c r="A82" s="19">
        <v>81</v>
      </c>
      <c r="B82" s="19">
        <v>1</v>
      </c>
      <c r="C82" s="18" t="s">
        <v>24</v>
      </c>
      <c r="D82" s="18" t="s">
        <v>501</v>
      </c>
      <c r="E82" s="16" t="s">
        <v>112</v>
      </c>
      <c r="F82" s="31" t="s">
        <v>56</v>
      </c>
      <c r="G82" s="27">
        <v>131</v>
      </c>
      <c r="H82" s="26">
        <v>208</v>
      </c>
      <c r="I82" s="26">
        <f t="shared" si="3"/>
        <v>27248</v>
      </c>
      <c r="V82" t="b">
        <f t="shared" si="4"/>
        <v>0</v>
      </c>
      <c r="X82" t="str">
        <f t="shared" si="5"/>
        <v>08.10.2700</v>
      </c>
    </row>
    <row r="83" spans="1:24" ht="43.2" x14ac:dyDescent="0.3">
      <c r="A83" s="19">
        <v>82</v>
      </c>
      <c r="B83" s="19">
        <v>1</v>
      </c>
      <c r="C83" s="18" t="s">
        <v>24</v>
      </c>
      <c r="D83" s="18" t="s">
        <v>502</v>
      </c>
      <c r="E83" s="16" t="s">
        <v>113</v>
      </c>
      <c r="F83" s="31" t="s">
        <v>56</v>
      </c>
      <c r="G83" s="27">
        <v>206</v>
      </c>
      <c r="H83" s="26">
        <v>268</v>
      </c>
      <c r="I83" s="26">
        <f t="shared" si="3"/>
        <v>55208</v>
      </c>
      <c r="V83" t="b">
        <f t="shared" si="4"/>
        <v>0</v>
      </c>
      <c r="X83" t="str">
        <f t="shared" si="5"/>
        <v>08.10.2703</v>
      </c>
    </row>
    <row r="84" spans="1:24" ht="115.2" x14ac:dyDescent="0.3">
      <c r="A84" s="19">
        <v>83</v>
      </c>
      <c r="B84" s="19">
        <v>1</v>
      </c>
      <c r="C84" s="18" t="s">
        <v>24</v>
      </c>
      <c r="D84" s="18" t="s">
        <v>503</v>
      </c>
      <c r="E84" s="16" t="s">
        <v>114</v>
      </c>
      <c r="F84" s="31" t="s">
        <v>56</v>
      </c>
      <c r="G84" s="27">
        <v>40</v>
      </c>
      <c r="H84" s="26">
        <v>1696</v>
      </c>
      <c r="I84" s="26">
        <f t="shared" si="3"/>
        <v>67840</v>
      </c>
      <c r="V84" t="b">
        <f t="shared" si="4"/>
        <v>0</v>
      </c>
      <c r="X84" t="str">
        <f t="shared" si="5"/>
        <v>08.10.3051</v>
      </c>
    </row>
    <row r="85" spans="1:24" ht="115.2" x14ac:dyDescent="0.3">
      <c r="A85" s="19">
        <v>84</v>
      </c>
      <c r="B85" s="19">
        <v>1</v>
      </c>
      <c r="C85" s="18" t="s">
        <v>24</v>
      </c>
      <c r="D85" s="18" t="s">
        <v>504</v>
      </c>
      <c r="E85" s="16" t="s">
        <v>115</v>
      </c>
      <c r="F85" s="31" t="s">
        <v>56</v>
      </c>
      <c r="G85" s="27">
        <v>75</v>
      </c>
      <c r="H85" s="26">
        <v>1900</v>
      </c>
      <c r="I85" s="26">
        <f t="shared" si="3"/>
        <v>142500</v>
      </c>
      <c r="V85" t="b">
        <f t="shared" si="4"/>
        <v>0</v>
      </c>
      <c r="X85" t="str">
        <f t="shared" si="5"/>
        <v>08.10.3055</v>
      </c>
    </row>
    <row r="86" spans="1:24" ht="115.2" x14ac:dyDescent="0.3">
      <c r="A86" s="19">
        <v>85</v>
      </c>
      <c r="B86" s="19">
        <v>1</v>
      </c>
      <c r="C86" s="18" t="s">
        <v>24</v>
      </c>
      <c r="D86" s="18" t="s">
        <v>505</v>
      </c>
      <c r="E86" s="16" t="s">
        <v>116</v>
      </c>
      <c r="F86" s="31" t="s">
        <v>56</v>
      </c>
      <c r="G86" s="27">
        <v>316</v>
      </c>
      <c r="H86" s="26">
        <v>2100</v>
      </c>
      <c r="I86" s="26">
        <f t="shared" si="3"/>
        <v>663600</v>
      </c>
      <c r="V86" t="b">
        <f t="shared" si="4"/>
        <v>0</v>
      </c>
      <c r="X86" t="str">
        <f t="shared" si="5"/>
        <v>08.10.3061</v>
      </c>
    </row>
    <row r="87" spans="1:24" ht="115.2" x14ac:dyDescent="0.3">
      <c r="A87" s="19">
        <v>86</v>
      </c>
      <c r="B87" s="19">
        <v>1</v>
      </c>
      <c r="C87" s="18" t="s">
        <v>24</v>
      </c>
      <c r="D87" s="18" t="s">
        <v>506</v>
      </c>
      <c r="E87" s="16" t="s">
        <v>117</v>
      </c>
      <c r="F87" s="31" t="s">
        <v>56</v>
      </c>
      <c r="G87" s="27">
        <v>8</v>
      </c>
      <c r="H87" s="26">
        <v>3026</v>
      </c>
      <c r="I87" s="26">
        <f t="shared" si="3"/>
        <v>24208</v>
      </c>
      <c r="V87" t="b">
        <f t="shared" si="4"/>
        <v>0</v>
      </c>
      <c r="X87" t="str">
        <f t="shared" si="5"/>
        <v>08.10.3063</v>
      </c>
    </row>
    <row r="88" spans="1:24" ht="86.4" x14ac:dyDescent="0.3">
      <c r="A88" s="19">
        <v>87</v>
      </c>
      <c r="B88" s="19">
        <v>1</v>
      </c>
      <c r="C88" s="18" t="s">
        <v>24</v>
      </c>
      <c r="D88" s="18" t="s">
        <v>507</v>
      </c>
      <c r="E88" s="16" t="s">
        <v>118</v>
      </c>
      <c r="F88" s="31" t="s">
        <v>56</v>
      </c>
      <c r="G88" s="27">
        <v>54</v>
      </c>
      <c r="H88" s="26">
        <v>3744</v>
      </c>
      <c r="I88" s="26">
        <f t="shared" si="3"/>
        <v>202176</v>
      </c>
      <c r="V88" t="b">
        <f t="shared" si="4"/>
        <v>0</v>
      </c>
      <c r="X88" t="str">
        <f t="shared" si="5"/>
        <v>08.10.3073</v>
      </c>
    </row>
    <row r="89" spans="1:24" ht="144" x14ac:dyDescent="0.3">
      <c r="A89" s="19">
        <v>88</v>
      </c>
      <c r="B89" s="19">
        <v>1</v>
      </c>
      <c r="C89" s="18" t="s">
        <v>24</v>
      </c>
      <c r="D89" s="18" t="s">
        <v>508</v>
      </c>
      <c r="E89" s="16" t="s">
        <v>119</v>
      </c>
      <c r="F89" s="31" t="s">
        <v>56</v>
      </c>
      <c r="G89" s="27">
        <v>20</v>
      </c>
      <c r="H89" s="26">
        <v>260</v>
      </c>
      <c r="I89" s="26">
        <f t="shared" si="3"/>
        <v>5200</v>
      </c>
      <c r="V89" t="b">
        <f t="shared" si="4"/>
        <v>0</v>
      </c>
      <c r="X89" t="str">
        <f t="shared" si="5"/>
        <v>08.10.3183</v>
      </c>
    </row>
    <row r="90" spans="1:24" ht="86.4" x14ac:dyDescent="0.3">
      <c r="A90" s="19">
        <v>89</v>
      </c>
      <c r="B90" s="19">
        <v>1</v>
      </c>
      <c r="C90" s="18" t="s">
        <v>420</v>
      </c>
      <c r="D90" s="18" t="s">
        <v>509</v>
      </c>
      <c r="E90" s="16" t="s">
        <v>120</v>
      </c>
      <c r="F90" s="31" t="s">
        <v>56</v>
      </c>
      <c r="G90" s="27">
        <v>303780</v>
      </c>
      <c r="H90" s="26">
        <v>7</v>
      </c>
      <c r="I90" s="26">
        <f t="shared" si="3"/>
        <v>2126460</v>
      </c>
      <c r="V90" t="b">
        <f t="shared" si="4"/>
        <v>0</v>
      </c>
      <c r="X90" t="str">
        <f t="shared" si="5"/>
        <v>08.10.3296</v>
      </c>
    </row>
    <row r="91" spans="1:24" ht="28.8" x14ac:dyDescent="0.3">
      <c r="A91" s="19">
        <v>90</v>
      </c>
      <c r="B91" s="19">
        <v>1</v>
      </c>
      <c r="C91" s="18" t="s">
        <v>420</v>
      </c>
      <c r="D91" s="18" t="s">
        <v>510</v>
      </c>
      <c r="E91" s="16" t="s">
        <v>121</v>
      </c>
      <c r="F91" s="31" t="s">
        <v>56</v>
      </c>
      <c r="G91" s="27">
        <v>680</v>
      </c>
      <c r="H91" s="26">
        <v>310</v>
      </c>
      <c r="I91" s="26">
        <f t="shared" si="3"/>
        <v>210800</v>
      </c>
      <c r="V91" t="b">
        <f t="shared" si="4"/>
        <v>0</v>
      </c>
      <c r="X91" t="str">
        <f t="shared" si="5"/>
        <v>08.10.3300</v>
      </c>
    </row>
    <row r="92" spans="1:24" ht="43.2" x14ac:dyDescent="0.3">
      <c r="A92" s="19">
        <v>91</v>
      </c>
      <c r="B92" s="19">
        <v>1</v>
      </c>
      <c r="C92" s="18" t="s">
        <v>420</v>
      </c>
      <c r="D92" s="18" t="s">
        <v>511</v>
      </c>
      <c r="E92" s="16" t="s">
        <v>122</v>
      </c>
      <c r="F92" s="31" t="s">
        <v>56</v>
      </c>
      <c r="G92" s="27">
        <v>542</v>
      </c>
      <c r="H92" s="26">
        <v>196</v>
      </c>
      <c r="I92" s="26">
        <f t="shared" si="3"/>
        <v>106232</v>
      </c>
      <c r="V92" t="b">
        <f t="shared" si="4"/>
        <v>0</v>
      </c>
      <c r="X92" t="str">
        <f t="shared" si="5"/>
        <v>08.10.3302</v>
      </c>
    </row>
    <row r="93" spans="1:24" ht="86.4" x14ac:dyDescent="0.3">
      <c r="A93" s="19">
        <v>92</v>
      </c>
      <c r="B93" s="19">
        <v>1</v>
      </c>
      <c r="C93" s="18" t="s">
        <v>420</v>
      </c>
      <c r="D93" s="18" t="s">
        <v>512</v>
      </c>
      <c r="E93" s="16" t="s">
        <v>123</v>
      </c>
      <c r="F93" s="31" t="s">
        <v>419</v>
      </c>
      <c r="G93" s="27">
        <v>10</v>
      </c>
      <c r="H93" s="26">
        <v>1488</v>
      </c>
      <c r="I93" s="26">
        <f t="shared" si="3"/>
        <v>14880</v>
      </c>
      <c r="V93" t="b">
        <f t="shared" si="4"/>
        <v>0</v>
      </c>
      <c r="X93" t="str">
        <f t="shared" si="5"/>
        <v>08.10.3326</v>
      </c>
    </row>
    <row r="94" spans="1:24" ht="86.4" x14ac:dyDescent="0.3">
      <c r="A94" s="19">
        <v>93</v>
      </c>
      <c r="B94" s="19">
        <v>1</v>
      </c>
      <c r="C94" s="18" t="s">
        <v>24</v>
      </c>
      <c r="D94" s="18" t="s">
        <v>513</v>
      </c>
      <c r="E94" s="16" t="s">
        <v>124</v>
      </c>
      <c r="F94" s="31" t="s">
        <v>419</v>
      </c>
      <c r="G94" s="27">
        <v>10</v>
      </c>
      <c r="H94" s="26">
        <v>1384</v>
      </c>
      <c r="I94" s="26">
        <f t="shared" si="3"/>
        <v>13840</v>
      </c>
      <c r="V94" t="b">
        <f t="shared" si="4"/>
        <v>0</v>
      </c>
      <c r="X94" t="str">
        <f t="shared" si="5"/>
        <v>08.10.3500</v>
      </c>
    </row>
    <row r="95" spans="1:24" ht="28.8" x14ac:dyDescent="0.3">
      <c r="A95" s="19">
        <v>94</v>
      </c>
      <c r="B95" s="19">
        <v>1</v>
      </c>
      <c r="C95" s="18" t="s">
        <v>24</v>
      </c>
      <c r="D95" s="18" t="s">
        <v>514</v>
      </c>
      <c r="E95" s="16" t="s">
        <v>125</v>
      </c>
      <c r="F95" s="31" t="s">
        <v>419</v>
      </c>
      <c r="G95" s="27">
        <v>10</v>
      </c>
      <c r="H95" s="26">
        <v>2128</v>
      </c>
      <c r="I95" s="26">
        <f t="shared" si="3"/>
        <v>21280</v>
      </c>
      <c r="V95" t="b">
        <f t="shared" si="4"/>
        <v>0</v>
      </c>
      <c r="X95" t="str">
        <f t="shared" si="5"/>
        <v>08.10.3510</v>
      </c>
    </row>
    <row r="96" spans="1:24" ht="72" x14ac:dyDescent="0.3">
      <c r="A96" s="19">
        <v>95</v>
      </c>
      <c r="B96" s="19">
        <v>1</v>
      </c>
      <c r="C96" s="18" t="s">
        <v>24</v>
      </c>
      <c r="D96" s="18" t="s">
        <v>515</v>
      </c>
      <c r="E96" s="16" t="s">
        <v>126</v>
      </c>
      <c r="F96" s="19" t="s">
        <v>56</v>
      </c>
      <c r="G96" s="27">
        <v>10</v>
      </c>
      <c r="H96" s="26">
        <v>29272</v>
      </c>
      <c r="I96" s="26">
        <f t="shared" si="3"/>
        <v>292720</v>
      </c>
      <c r="V96" t="b">
        <f t="shared" si="4"/>
        <v>0</v>
      </c>
      <c r="X96" t="str">
        <f t="shared" si="5"/>
        <v>08.10.3515</v>
      </c>
    </row>
    <row r="97" spans="1:24" ht="57.6" x14ac:dyDescent="0.3">
      <c r="A97" s="19">
        <v>96</v>
      </c>
      <c r="B97" s="19">
        <v>1</v>
      </c>
      <c r="C97" s="18" t="s">
        <v>24</v>
      </c>
      <c r="D97" s="18" t="s">
        <v>516</v>
      </c>
      <c r="E97" s="16" t="s">
        <v>127</v>
      </c>
      <c r="F97" s="31" t="s">
        <v>419</v>
      </c>
      <c r="G97" s="27">
        <v>5</v>
      </c>
      <c r="H97" s="26">
        <v>3660</v>
      </c>
      <c r="I97" s="26">
        <f t="shared" si="3"/>
        <v>18300</v>
      </c>
      <c r="V97" t="b">
        <f t="shared" si="4"/>
        <v>0</v>
      </c>
      <c r="X97" t="str">
        <f t="shared" si="5"/>
        <v>08.10.3548</v>
      </c>
    </row>
    <row r="98" spans="1:24" ht="86.4" x14ac:dyDescent="0.3">
      <c r="A98" s="19">
        <v>97</v>
      </c>
      <c r="B98" s="19">
        <v>1</v>
      </c>
      <c r="C98" s="18" t="s">
        <v>24</v>
      </c>
      <c r="D98" s="18" t="s">
        <v>517</v>
      </c>
      <c r="E98" s="16" t="s">
        <v>128</v>
      </c>
      <c r="F98" s="19" t="s">
        <v>56</v>
      </c>
      <c r="G98" s="27">
        <v>10</v>
      </c>
      <c r="H98" s="26">
        <v>1808</v>
      </c>
      <c r="I98" s="26">
        <f t="shared" si="3"/>
        <v>18080</v>
      </c>
      <c r="V98" t="b">
        <f t="shared" si="4"/>
        <v>0</v>
      </c>
      <c r="X98" t="str">
        <f t="shared" si="5"/>
        <v>08.10.3569</v>
      </c>
    </row>
    <row r="99" spans="1:24" ht="57.6" x14ac:dyDescent="0.3">
      <c r="A99" s="19">
        <v>98</v>
      </c>
      <c r="B99" s="19">
        <v>1</v>
      </c>
      <c r="C99" s="18" t="s">
        <v>24</v>
      </c>
      <c r="D99" s="18" t="s">
        <v>518</v>
      </c>
      <c r="E99" s="16" t="s">
        <v>129</v>
      </c>
      <c r="F99" s="19" t="s">
        <v>56</v>
      </c>
      <c r="G99" s="27">
        <v>356</v>
      </c>
      <c r="H99" s="26">
        <v>85</v>
      </c>
      <c r="I99" s="26">
        <f t="shared" si="3"/>
        <v>30260</v>
      </c>
      <c r="V99" t="b">
        <f t="shared" si="4"/>
        <v>0</v>
      </c>
      <c r="X99" t="str">
        <f t="shared" si="5"/>
        <v>08.10.3823</v>
      </c>
    </row>
    <row r="100" spans="1:24" ht="72" x14ac:dyDescent="0.3">
      <c r="A100" s="19">
        <v>99</v>
      </c>
      <c r="B100" s="19">
        <v>1</v>
      </c>
      <c r="C100" s="18" t="s">
        <v>24</v>
      </c>
      <c r="D100" s="18" t="s">
        <v>519</v>
      </c>
      <c r="E100" s="16" t="s">
        <v>130</v>
      </c>
      <c r="F100" s="31" t="s">
        <v>419</v>
      </c>
      <c r="G100" s="27">
        <v>10</v>
      </c>
      <c r="H100" s="26">
        <v>1776</v>
      </c>
      <c r="I100" s="26">
        <f t="shared" si="3"/>
        <v>17760</v>
      </c>
      <c r="V100" t="b">
        <f t="shared" si="4"/>
        <v>0</v>
      </c>
      <c r="X100" t="str">
        <f t="shared" si="5"/>
        <v>08.10.3985</v>
      </c>
    </row>
    <row r="101" spans="1:24" ht="28.8" x14ac:dyDescent="0.3">
      <c r="A101" s="19">
        <v>100</v>
      </c>
      <c r="B101" s="19">
        <v>1</v>
      </c>
      <c r="C101" s="18" t="s">
        <v>24</v>
      </c>
      <c r="D101" s="18" t="s">
        <v>520</v>
      </c>
      <c r="E101" s="16" t="s">
        <v>131</v>
      </c>
      <c r="F101" s="31" t="s">
        <v>419</v>
      </c>
      <c r="G101" s="27">
        <v>10</v>
      </c>
      <c r="H101" s="26">
        <v>1704</v>
      </c>
      <c r="I101" s="26">
        <f t="shared" si="3"/>
        <v>17040</v>
      </c>
      <c r="V101" t="b">
        <f t="shared" si="4"/>
        <v>0</v>
      </c>
      <c r="X101" t="str">
        <f t="shared" si="5"/>
        <v>08.10.3987</v>
      </c>
    </row>
    <row r="102" spans="1:24" ht="43.2" x14ac:dyDescent="0.3">
      <c r="A102" s="19">
        <v>101</v>
      </c>
      <c r="B102" s="19">
        <v>1</v>
      </c>
      <c r="C102" s="18" t="s">
        <v>24</v>
      </c>
      <c r="D102" s="18" t="s">
        <v>521</v>
      </c>
      <c r="E102" s="16" t="s">
        <v>132</v>
      </c>
      <c r="F102" s="31" t="s">
        <v>419</v>
      </c>
      <c r="G102" s="27">
        <v>9</v>
      </c>
      <c r="H102" s="26">
        <v>968</v>
      </c>
      <c r="I102" s="26">
        <f t="shared" si="3"/>
        <v>8712</v>
      </c>
      <c r="V102" t="b">
        <f t="shared" si="4"/>
        <v>0</v>
      </c>
      <c r="X102" t="str">
        <f t="shared" si="5"/>
        <v>08.10.4106</v>
      </c>
    </row>
    <row r="103" spans="1:24" ht="72" x14ac:dyDescent="0.3">
      <c r="A103" s="19">
        <v>102</v>
      </c>
      <c r="B103" s="19">
        <v>1</v>
      </c>
      <c r="C103" s="18" t="s">
        <v>24</v>
      </c>
      <c r="D103" s="18" t="s">
        <v>522</v>
      </c>
      <c r="E103" s="16" t="s">
        <v>133</v>
      </c>
      <c r="F103" s="31" t="s">
        <v>56</v>
      </c>
      <c r="G103" s="27">
        <v>327</v>
      </c>
      <c r="H103" s="26">
        <v>348</v>
      </c>
      <c r="I103" s="26">
        <f t="shared" si="3"/>
        <v>113796</v>
      </c>
      <c r="V103" t="b">
        <f t="shared" si="4"/>
        <v>0</v>
      </c>
      <c r="X103" t="str">
        <f t="shared" si="5"/>
        <v>08.10.4130</v>
      </c>
    </row>
    <row r="104" spans="1:24" ht="43.2" x14ac:dyDescent="0.3">
      <c r="A104" s="19">
        <v>103</v>
      </c>
      <c r="B104" s="19">
        <v>1</v>
      </c>
      <c r="C104" s="18" t="s">
        <v>24</v>
      </c>
      <c r="D104" s="18" t="s">
        <v>523</v>
      </c>
      <c r="E104" s="16" t="s">
        <v>134</v>
      </c>
      <c r="F104" s="31" t="s">
        <v>56</v>
      </c>
      <c r="G104" s="27">
        <v>327</v>
      </c>
      <c r="H104" s="26">
        <v>176</v>
      </c>
      <c r="I104" s="26">
        <f t="shared" si="3"/>
        <v>57552</v>
      </c>
      <c r="V104" t="b">
        <f t="shared" si="4"/>
        <v>0</v>
      </c>
      <c r="X104" t="str">
        <f t="shared" si="5"/>
        <v>08.10.4151</v>
      </c>
    </row>
    <row r="105" spans="1:24" ht="43.2" x14ac:dyDescent="0.3">
      <c r="A105" s="19">
        <v>104</v>
      </c>
      <c r="B105" s="19">
        <v>1</v>
      </c>
      <c r="C105" s="18" t="s">
        <v>24</v>
      </c>
      <c r="D105" s="18" t="s">
        <v>524</v>
      </c>
      <c r="E105" s="16" t="s">
        <v>135</v>
      </c>
      <c r="F105" s="19" t="s">
        <v>56</v>
      </c>
      <c r="G105" s="27">
        <v>61</v>
      </c>
      <c r="H105" s="26">
        <v>720</v>
      </c>
      <c r="I105" s="26">
        <f t="shared" si="3"/>
        <v>43920</v>
      </c>
      <c r="V105" t="b">
        <f t="shared" si="4"/>
        <v>0</v>
      </c>
      <c r="X105" t="str">
        <f t="shared" si="5"/>
        <v>08.10.9173</v>
      </c>
    </row>
    <row r="106" spans="1:24" ht="115.2" x14ac:dyDescent="0.3">
      <c r="A106" s="19">
        <v>105</v>
      </c>
      <c r="B106" s="19">
        <v>1</v>
      </c>
      <c r="C106" s="18" t="s">
        <v>24</v>
      </c>
      <c r="D106" s="18" t="s">
        <v>525</v>
      </c>
      <c r="E106" s="16" t="s">
        <v>136</v>
      </c>
      <c r="F106" s="19" t="s">
        <v>56</v>
      </c>
      <c r="G106" s="27">
        <v>61</v>
      </c>
      <c r="H106" s="26">
        <v>1050</v>
      </c>
      <c r="I106" s="26">
        <f t="shared" si="3"/>
        <v>64050</v>
      </c>
      <c r="V106" t="b">
        <f t="shared" si="4"/>
        <v>0</v>
      </c>
      <c r="X106" t="str">
        <f t="shared" si="5"/>
        <v>08.10.9174</v>
      </c>
    </row>
    <row r="107" spans="1:24" ht="43.2" x14ac:dyDescent="0.3">
      <c r="A107" s="19">
        <v>106</v>
      </c>
      <c r="B107" s="19">
        <v>1</v>
      </c>
      <c r="C107" s="18" t="s">
        <v>24</v>
      </c>
      <c r="D107" s="18" t="s">
        <v>526</v>
      </c>
      <c r="E107" s="16" t="s">
        <v>137</v>
      </c>
      <c r="F107" s="31" t="s">
        <v>419</v>
      </c>
      <c r="G107" s="27">
        <v>9</v>
      </c>
      <c r="H107" s="26">
        <v>500</v>
      </c>
      <c r="I107" s="26">
        <f t="shared" si="3"/>
        <v>4500</v>
      </c>
      <c r="V107" t="b">
        <f t="shared" si="4"/>
        <v>0</v>
      </c>
      <c r="X107" t="str">
        <f t="shared" si="5"/>
        <v>08.10.9175</v>
      </c>
    </row>
    <row r="108" spans="1:24" ht="115.2" x14ac:dyDescent="0.3">
      <c r="A108" s="19">
        <v>107</v>
      </c>
      <c r="B108" s="19">
        <v>1</v>
      </c>
      <c r="C108" s="18" t="s">
        <v>24</v>
      </c>
      <c r="D108" s="18" t="s">
        <v>527</v>
      </c>
      <c r="E108" s="16" t="s">
        <v>138</v>
      </c>
      <c r="F108" s="19" t="s">
        <v>56</v>
      </c>
      <c r="G108" s="27">
        <v>130</v>
      </c>
      <c r="H108" s="26">
        <v>2950</v>
      </c>
      <c r="I108" s="26">
        <f t="shared" si="3"/>
        <v>383500</v>
      </c>
      <c r="V108" t="b">
        <f t="shared" si="4"/>
        <v>0</v>
      </c>
      <c r="X108" t="str">
        <f t="shared" si="5"/>
        <v>08.10.9182</v>
      </c>
    </row>
    <row r="109" spans="1:24" ht="43.2" x14ac:dyDescent="0.3">
      <c r="A109" s="19">
        <v>108</v>
      </c>
      <c r="B109" s="19">
        <v>1</v>
      </c>
      <c r="C109" s="18" t="s">
        <v>24</v>
      </c>
      <c r="D109" s="18" t="s">
        <v>528</v>
      </c>
      <c r="E109" s="16" t="s">
        <v>139</v>
      </c>
      <c r="F109" s="19" t="s">
        <v>56</v>
      </c>
      <c r="G109" s="27">
        <v>6</v>
      </c>
      <c r="H109" s="26">
        <v>1400</v>
      </c>
      <c r="I109" s="26">
        <f t="shared" si="3"/>
        <v>8400</v>
      </c>
      <c r="V109" t="b">
        <f t="shared" si="4"/>
        <v>0</v>
      </c>
      <c r="X109" t="str">
        <f t="shared" si="5"/>
        <v>08.10.9210</v>
      </c>
    </row>
    <row r="110" spans="1:24" ht="43.2" x14ac:dyDescent="0.3">
      <c r="A110" s="19">
        <v>109</v>
      </c>
      <c r="B110" s="19">
        <v>1</v>
      </c>
      <c r="C110" s="18" t="s">
        <v>24</v>
      </c>
      <c r="D110" s="18" t="s">
        <v>529</v>
      </c>
      <c r="E110" s="16" t="s">
        <v>140</v>
      </c>
      <c r="F110" s="19" t="s">
        <v>56</v>
      </c>
      <c r="G110" s="27">
        <v>6</v>
      </c>
      <c r="H110" s="26">
        <v>1500</v>
      </c>
      <c r="I110" s="26">
        <f t="shared" si="3"/>
        <v>9000</v>
      </c>
      <c r="V110" t="b">
        <f t="shared" si="4"/>
        <v>0</v>
      </c>
      <c r="X110" t="str">
        <f t="shared" si="5"/>
        <v>08.10.9211</v>
      </c>
    </row>
    <row r="111" spans="1:24" ht="43.2" x14ac:dyDescent="0.3">
      <c r="A111" s="19">
        <v>110</v>
      </c>
      <c r="B111" s="19">
        <v>1</v>
      </c>
      <c r="C111" s="18" t="s">
        <v>24</v>
      </c>
      <c r="D111" s="18" t="s">
        <v>530</v>
      </c>
      <c r="E111" s="16" t="s">
        <v>141</v>
      </c>
      <c r="F111" s="19" t="s">
        <v>56</v>
      </c>
      <c r="G111" s="27">
        <v>61</v>
      </c>
      <c r="H111" s="26">
        <v>1400</v>
      </c>
      <c r="I111" s="26">
        <f t="shared" si="3"/>
        <v>85400</v>
      </c>
      <c r="V111" t="b">
        <f t="shared" si="4"/>
        <v>0</v>
      </c>
      <c r="X111" t="str">
        <f t="shared" si="5"/>
        <v>08.10.9212</v>
      </c>
    </row>
    <row r="112" spans="1:24" ht="43.2" x14ac:dyDescent="0.3">
      <c r="A112" s="19">
        <v>111</v>
      </c>
      <c r="B112" s="19">
        <v>1</v>
      </c>
      <c r="C112" s="18" t="s">
        <v>142</v>
      </c>
      <c r="D112" s="18" t="s">
        <v>531</v>
      </c>
      <c r="E112" s="16" t="s">
        <v>143</v>
      </c>
      <c r="F112" s="19" t="s">
        <v>144</v>
      </c>
      <c r="G112" s="27">
        <v>7024</v>
      </c>
      <c r="H112" s="26">
        <v>22</v>
      </c>
      <c r="I112" s="26">
        <f t="shared" si="3"/>
        <v>154528</v>
      </c>
      <c r="V112" t="b">
        <f t="shared" si="4"/>
        <v>0</v>
      </c>
      <c r="X112" t="str">
        <f t="shared" si="5"/>
        <v>19.02.0010</v>
      </c>
    </row>
    <row r="113" spans="1:24" ht="100.8" x14ac:dyDescent="0.3">
      <c r="A113" s="19">
        <v>112</v>
      </c>
      <c r="B113" s="19">
        <v>1</v>
      </c>
      <c r="C113" s="18" t="s">
        <v>142</v>
      </c>
      <c r="D113" s="18" t="s">
        <v>532</v>
      </c>
      <c r="E113" s="16" t="s">
        <v>145</v>
      </c>
      <c r="F113" s="19" t="s">
        <v>30</v>
      </c>
      <c r="G113" s="27">
        <v>129.46</v>
      </c>
      <c r="H113" s="26">
        <v>4510</v>
      </c>
      <c r="I113" s="26">
        <f t="shared" si="3"/>
        <v>583864.60000000009</v>
      </c>
      <c r="V113" t="b">
        <f t="shared" si="4"/>
        <v>0</v>
      </c>
      <c r="X113" t="str">
        <f t="shared" si="5"/>
        <v>19.02.0091</v>
      </c>
    </row>
    <row r="114" spans="1:24" ht="100.8" x14ac:dyDescent="0.3">
      <c r="A114" s="19">
        <v>113</v>
      </c>
      <c r="B114" s="19">
        <v>1</v>
      </c>
      <c r="C114" s="18" t="s">
        <v>142</v>
      </c>
      <c r="D114" s="18" t="s">
        <v>533</v>
      </c>
      <c r="E114" s="16" t="s">
        <v>146</v>
      </c>
      <c r="F114" s="19" t="s">
        <v>30</v>
      </c>
      <c r="G114" s="27">
        <v>70</v>
      </c>
      <c r="H114" s="26">
        <v>4210</v>
      </c>
      <c r="I114" s="26">
        <f t="shared" si="3"/>
        <v>294700</v>
      </c>
      <c r="V114" t="b">
        <f t="shared" si="4"/>
        <v>0</v>
      </c>
      <c r="X114" t="str">
        <f t="shared" si="5"/>
        <v>19.02.0092</v>
      </c>
    </row>
    <row r="115" spans="1:24" ht="28.8" x14ac:dyDescent="0.3">
      <c r="A115" s="19">
        <v>114</v>
      </c>
      <c r="B115" s="19">
        <v>1</v>
      </c>
      <c r="C115" s="18" t="s">
        <v>142</v>
      </c>
      <c r="D115" s="18" t="s">
        <v>534</v>
      </c>
      <c r="E115" s="16" t="s">
        <v>147</v>
      </c>
      <c r="F115" s="19" t="s">
        <v>26</v>
      </c>
      <c r="G115" s="27">
        <v>4.97</v>
      </c>
      <c r="H115" s="26">
        <v>17940</v>
      </c>
      <c r="I115" s="26">
        <f t="shared" si="3"/>
        <v>89161.799999999988</v>
      </c>
      <c r="V115" t="b">
        <f t="shared" si="4"/>
        <v>0</v>
      </c>
      <c r="X115" t="str">
        <f t="shared" si="5"/>
        <v>19.02.0101</v>
      </c>
    </row>
    <row r="116" spans="1:24" x14ac:dyDescent="0.3">
      <c r="A116" s="19">
        <v>115</v>
      </c>
      <c r="B116" s="19">
        <v>1</v>
      </c>
      <c r="C116" s="18" t="s">
        <v>142</v>
      </c>
      <c r="D116" s="18" t="s">
        <v>535</v>
      </c>
      <c r="E116" s="16" t="s">
        <v>148</v>
      </c>
      <c r="F116" s="19" t="s">
        <v>26</v>
      </c>
      <c r="G116" s="27">
        <v>125</v>
      </c>
      <c r="H116" s="26">
        <v>17000</v>
      </c>
      <c r="I116" s="26">
        <f t="shared" si="3"/>
        <v>2125000</v>
      </c>
      <c r="V116" t="b">
        <f t="shared" si="4"/>
        <v>0</v>
      </c>
      <c r="X116" t="str">
        <f t="shared" si="5"/>
        <v>19.02.0110</v>
      </c>
    </row>
    <row r="117" spans="1:24" x14ac:dyDescent="0.3">
      <c r="A117" s="19">
        <v>116</v>
      </c>
      <c r="B117" s="19">
        <v>1</v>
      </c>
      <c r="C117" s="18" t="s">
        <v>142</v>
      </c>
      <c r="D117" s="18" t="s">
        <v>536</v>
      </c>
      <c r="E117" s="16" t="s">
        <v>149</v>
      </c>
      <c r="F117" s="19" t="s">
        <v>26</v>
      </c>
      <c r="G117" s="27">
        <v>14.6</v>
      </c>
      <c r="H117" s="26">
        <v>17737</v>
      </c>
      <c r="I117" s="26">
        <f t="shared" si="3"/>
        <v>258960.19999999998</v>
      </c>
      <c r="V117" t="b">
        <f t="shared" si="4"/>
        <v>0</v>
      </c>
      <c r="X117" t="str">
        <f t="shared" si="5"/>
        <v>19.02.0120</v>
      </c>
    </row>
    <row r="118" spans="1:24" ht="57.6" x14ac:dyDescent="0.3">
      <c r="A118" s="19">
        <v>117</v>
      </c>
      <c r="B118" s="19">
        <v>1</v>
      </c>
      <c r="C118" s="18" t="s">
        <v>142</v>
      </c>
      <c r="D118" s="18" t="s">
        <v>537</v>
      </c>
      <c r="E118" s="16" t="s">
        <v>150</v>
      </c>
      <c r="F118" s="19" t="s">
        <v>144</v>
      </c>
      <c r="G118" s="27">
        <v>760</v>
      </c>
      <c r="H118" s="26">
        <v>540</v>
      </c>
      <c r="I118" s="26">
        <f t="shared" si="3"/>
        <v>410400</v>
      </c>
      <c r="V118" t="b">
        <f t="shared" si="4"/>
        <v>0</v>
      </c>
      <c r="X118" t="str">
        <f t="shared" si="5"/>
        <v>19.05.2073</v>
      </c>
    </row>
    <row r="119" spans="1:24" ht="28.8" x14ac:dyDescent="0.3">
      <c r="A119" s="19">
        <v>118</v>
      </c>
      <c r="B119" s="19">
        <v>1</v>
      </c>
      <c r="C119" s="18" t="s">
        <v>20</v>
      </c>
      <c r="D119" s="18" t="s">
        <v>538</v>
      </c>
      <c r="E119" s="16" t="s">
        <v>151</v>
      </c>
      <c r="F119" s="19" t="s">
        <v>59</v>
      </c>
      <c r="G119" s="27">
        <v>30</v>
      </c>
      <c r="H119" s="26">
        <v>589</v>
      </c>
      <c r="I119" s="26">
        <f t="shared" si="3"/>
        <v>17670</v>
      </c>
      <c r="V119" t="b">
        <f t="shared" si="4"/>
        <v>0</v>
      </c>
      <c r="X119" t="str">
        <f t="shared" si="5"/>
        <v>23.01.0151</v>
      </c>
    </row>
    <row r="120" spans="1:24" ht="43.2" x14ac:dyDescent="0.3">
      <c r="A120" s="19">
        <v>119</v>
      </c>
      <c r="B120" s="19">
        <v>1</v>
      </c>
      <c r="C120" s="18" t="s">
        <v>20</v>
      </c>
      <c r="D120" s="18" t="s">
        <v>539</v>
      </c>
      <c r="E120" s="16" t="s">
        <v>152</v>
      </c>
      <c r="F120" s="19" t="s">
        <v>59</v>
      </c>
      <c r="G120" s="27">
        <v>228</v>
      </c>
      <c r="H120" s="26">
        <v>404</v>
      </c>
      <c r="I120" s="26">
        <f t="shared" si="3"/>
        <v>92112</v>
      </c>
      <c r="V120" t="b">
        <f t="shared" si="4"/>
        <v>0</v>
      </c>
      <c r="X120" t="str">
        <f t="shared" si="5"/>
        <v>23.01.0311</v>
      </c>
    </row>
    <row r="121" spans="1:24" ht="43.2" x14ac:dyDescent="0.3">
      <c r="A121" s="19">
        <v>120</v>
      </c>
      <c r="B121" s="19">
        <v>1</v>
      </c>
      <c r="C121" s="18" t="s">
        <v>20</v>
      </c>
      <c r="D121" s="18" t="s">
        <v>540</v>
      </c>
      <c r="E121" s="16" t="s">
        <v>153</v>
      </c>
      <c r="F121" s="31" t="s">
        <v>59</v>
      </c>
      <c r="G121" s="27">
        <v>1446</v>
      </c>
      <c r="H121" s="26">
        <v>660</v>
      </c>
      <c r="I121" s="26">
        <f t="shared" si="3"/>
        <v>954360</v>
      </c>
      <c r="V121" t="b">
        <f t="shared" si="4"/>
        <v>0</v>
      </c>
      <c r="X121" t="str">
        <f t="shared" si="5"/>
        <v>23.01.0331</v>
      </c>
    </row>
    <row r="122" spans="1:24" ht="43.2" x14ac:dyDescent="0.3">
      <c r="A122" s="19">
        <v>121</v>
      </c>
      <c r="B122" s="19">
        <v>1</v>
      </c>
      <c r="C122" s="18" t="s">
        <v>20</v>
      </c>
      <c r="D122" s="18" t="s">
        <v>541</v>
      </c>
      <c r="E122" s="16" t="s">
        <v>154</v>
      </c>
      <c r="F122" s="31" t="s">
        <v>59</v>
      </c>
      <c r="G122" s="27">
        <v>3120</v>
      </c>
      <c r="H122" s="26">
        <v>850</v>
      </c>
      <c r="I122" s="26">
        <f t="shared" si="3"/>
        <v>2652000</v>
      </c>
      <c r="V122" t="b">
        <f t="shared" si="4"/>
        <v>0</v>
      </c>
      <c r="X122" t="str">
        <f t="shared" si="5"/>
        <v>23.01.0351</v>
      </c>
    </row>
    <row r="123" spans="1:24" ht="43.2" x14ac:dyDescent="0.3">
      <c r="A123" s="19">
        <v>122</v>
      </c>
      <c r="B123" s="19">
        <v>1</v>
      </c>
      <c r="C123" s="18" t="s">
        <v>20</v>
      </c>
      <c r="D123" s="18" t="s">
        <v>542</v>
      </c>
      <c r="E123" s="16" t="s">
        <v>155</v>
      </c>
      <c r="F123" s="19" t="s">
        <v>59</v>
      </c>
      <c r="G123" s="27">
        <v>288</v>
      </c>
      <c r="H123" s="26">
        <v>988</v>
      </c>
      <c r="I123" s="26">
        <f t="shared" si="3"/>
        <v>284544</v>
      </c>
      <c r="V123" t="b">
        <f t="shared" si="4"/>
        <v>0</v>
      </c>
      <c r="X123" t="str">
        <f t="shared" si="5"/>
        <v>23.01.0361</v>
      </c>
    </row>
    <row r="124" spans="1:24" x14ac:dyDescent="0.3">
      <c r="A124" s="19">
        <v>123</v>
      </c>
      <c r="B124" s="19">
        <v>1</v>
      </c>
      <c r="C124" s="18" t="s">
        <v>20</v>
      </c>
      <c r="D124" s="18" t="s">
        <v>543</v>
      </c>
      <c r="E124" s="16" t="s">
        <v>156</v>
      </c>
      <c r="F124" s="19" t="s">
        <v>59</v>
      </c>
      <c r="G124" s="27">
        <v>15108</v>
      </c>
      <c r="H124" s="26">
        <v>29.45</v>
      </c>
      <c r="I124" s="26">
        <f t="shared" si="3"/>
        <v>444930.6</v>
      </c>
      <c r="V124" t="b">
        <f t="shared" si="4"/>
        <v>0</v>
      </c>
      <c r="X124" t="str">
        <f t="shared" si="5"/>
        <v>23.01.0650</v>
      </c>
    </row>
    <row r="125" spans="1:24" ht="28.8" x14ac:dyDescent="0.3">
      <c r="A125" s="19">
        <v>124</v>
      </c>
      <c r="B125" s="19">
        <v>1</v>
      </c>
      <c r="C125" s="18" t="s">
        <v>21</v>
      </c>
      <c r="D125" s="18" t="s">
        <v>544</v>
      </c>
      <c r="E125" s="16" t="s">
        <v>157</v>
      </c>
      <c r="F125" s="19" t="s">
        <v>28</v>
      </c>
      <c r="G125" s="27">
        <v>50000</v>
      </c>
      <c r="H125" s="26">
        <v>2.8</v>
      </c>
      <c r="I125" s="26">
        <f t="shared" si="3"/>
        <v>140000</v>
      </c>
      <c r="V125" t="b">
        <f t="shared" si="4"/>
        <v>0</v>
      </c>
      <c r="X125" t="str">
        <f t="shared" si="5"/>
        <v>40.01.0010</v>
      </c>
    </row>
    <row r="126" spans="1:24" x14ac:dyDescent="0.3">
      <c r="A126" s="19">
        <v>125</v>
      </c>
      <c r="B126" s="19">
        <v>1</v>
      </c>
      <c r="C126" s="18" t="s">
        <v>21</v>
      </c>
      <c r="D126" s="18" t="s">
        <v>545</v>
      </c>
      <c r="E126" s="16" t="s">
        <v>158</v>
      </c>
      <c r="F126" s="19" t="s">
        <v>30</v>
      </c>
      <c r="G126" s="27">
        <v>20250</v>
      </c>
      <c r="H126" s="26">
        <v>18.2</v>
      </c>
      <c r="I126" s="26">
        <f t="shared" si="3"/>
        <v>368550</v>
      </c>
      <c r="V126" t="b">
        <f t="shared" si="4"/>
        <v>0</v>
      </c>
      <c r="X126" t="str">
        <f t="shared" si="5"/>
        <v>40.01.0012</v>
      </c>
    </row>
    <row r="127" spans="1:24" x14ac:dyDescent="0.3">
      <c r="A127" s="19">
        <v>126</v>
      </c>
      <c r="B127" s="19">
        <v>1</v>
      </c>
      <c r="C127" s="18" t="s">
        <v>21</v>
      </c>
      <c r="D127" s="18" t="s">
        <v>546</v>
      </c>
      <c r="E127" s="16" t="s">
        <v>159</v>
      </c>
      <c r="F127" s="19" t="s">
        <v>28</v>
      </c>
      <c r="G127" s="27">
        <v>180</v>
      </c>
      <c r="H127" s="26">
        <v>374</v>
      </c>
      <c r="I127" s="26">
        <f t="shared" si="3"/>
        <v>67320</v>
      </c>
      <c r="V127" t="b">
        <f t="shared" si="4"/>
        <v>0</v>
      </c>
      <c r="X127" t="str">
        <f t="shared" si="5"/>
        <v>40.01.0040</v>
      </c>
    </row>
    <row r="128" spans="1:24" x14ac:dyDescent="0.3">
      <c r="A128" s="19">
        <v>127</v>
      </c>
      <c r="B128" s="19">
        <v>1</v>
      </c>
      <c r="C128" s="18" t="s">
        <v>22</v>
      </c>
      <c r="D128" s="18" t="s">
        <v>547</v>
      </c>
      <c r="E128" s="16" t="s">
        <v>160</v>
      </c>
      <c r="F128" s="31" t="s">
        <v>56</v>
      </c>
      <c r="G128" s="27">
        <v>20</v>
      </c>
      <c r="H128" s="26">
        <v>211</v>
      </c>
      <c r="I128" s="26">
        <f t="shared" si="3"/>
        <v>4220</v>
      </c>
      <c r="V128" t="b">
        <f t="shared" si="4"/>
        <v>0</v>
      </c>
      <c r="X128" t="str">
        <f t="shared" si="5"/>
        <v>40.02.0036</v>
      </c>
    </row>
    <row r="129" spans="1:24" ht="57.6" x14ac:dyDescent="0.3">
      <c r="A129" s="19">
        <v>128</v>
      </c>
      <c r="B129" s="19">
        <v>1</v>
      </c>
      <c r="C129" s="18" t="s">
        <v>22</v>
      </c>
      <c r="D129" s="18" t="s">
        <v>548</v>
      </c>
      <c r="E129" s="16" t="s">
        <v>161</v>
      </c>
      <c r="F129" s="31" t="s">
        <v>56</v>
      </c>
      <c r="G129" s="27">
        <v>6</v>
      </c>
      <c r="H129" s="26">
        <v>1500</v>
      </c>
      <c r="I129" s="26">
        <f t="shared" si="3"/>
        <v>9000</v>
      </c>
      <c r="V129" t="b">
        <f t="shared" si="4"/>
        <v>0</v>
      </c>
      <c r="X129" t="str">
        <f t="shared" si="5"/>
        <v>40.02.0053</v>
      </c>
    </row>
    <row r="130" spans="1:24" ht="158.4" x14ac:dyDescent="0.3">
      <c r="A130" s="19">
        <v>129</v>
      </c>
      <c r="B130" s="19">
        <v>1</v>
      </c>
      <c r="C130" s="18" t="s">
        <v>22</v>
      </c>
      <c r="D130" s="18" t="s">
        <v>549</v>
      </c>
      <c r="E130" s="16" t="s">
        <v>162</v>
      </c>
      <c r="F130" s="31" t="s">
        <v>56</v>
      </c>
      <c r="G130" s="27">
        <v>7</v>
      </c>
      <c r="H130" s="26">
        <v>70400</v>
      </c>
      <c r="I130" s="26">
        <f t="shared" si="3"/>
        <v>492800</v>
      </c>
      <c r="V130" t="b">
        <f t="shared" si="4"/>
        <v>0</v>
      </c>
      <c r="X130" t="str">
        <f t="shared" si="5"/>
        <v>40.02.1201</v>
      </c>
    </row>
    <row r="131" spans="1:24" ht="158.4" x14ac:dyDescent="0.3">
      <c r="A131" s="19">
        <v>130</v>
      </c>
      <c r="B131" s="19">
        <v>1</v>
      </c>
      <c r="C131" s="18" t="s">
        <v>22</v>
      </c>
      <c r="D131" s="18" t="s">
        <v>550</v>
      </c>
      <c r="E131" s="16" t="s">
        <v>163</v>
      </c>
      <c r="F131" s="31" t="s">
        <v>56</v>
      </c>
      <c r="G131" s="27">
        <v>8</v>
      </c>
      <c r="H131" s="26">
        <v>61600</v>
      </c>
      <c r="I131" s="26">
        <f t="shared" ref="I131:I194" si="6">H131*G131</f>
        <v>492800</v>
      </c>
      <c r="V131" t="b">
        <f t="shared" ref="V131:V194" si="7">COUNTIF($D:$D, D131) &gt; 1</f>
        <v>0</v>
      </c>
      <c r="X131" t="str">
        <f t="shared" ref="X131:X194" si="8">MID(D131,3,LEN(D131)-2)</f>
        <v>40.02.1335</v>
      </c>
    </row>
    <row r="132" spans="1:24" x14ac:dyDescent="0.3">
      <c r="A132" s="19">
        <v>131</v>
      </c>
      <c r="B132" s="19">
        <v>1</v>
      </c>
      <c r="C132" s="18" t="s">
        <v>21</v>
      </c>
      <c r="D132" s="18" t="s">
        <v>551</v>
      </c>
      <c r="E132" s="16" t="s">
        <v>164</v>
      </c>
      <c r="F132" s="31" t="s">
        <v>28</v>
      </c>
      <c r="G132" s="27">
        <v>105000</v>
      </c>
      <c r="H132" s="26">
        <v>0.9</v>
      </c>
      <c r="I132" s="26">
        <f t="shared" si="6"/>
        <v>94500</v>
      </c>
      <c r="V132" t="b">
        <f t="shared" si="7"/>
        <v>0</v>
      </c>
      <c r="X132" t="str">
        <f t="shared" si="8"/>
        <v>41.01.0030</v>
      </c>
    </row>
    <row r="133" spans="1:24" x14ac:dyDescent="0.3">
      <c r="A133" s="19">
        <v>132</v>
      </c>
      <c r="B133" s="19">
        <v>1</v>
      </c>
      <c r="C133" s="18" t="s">
        <v>21</v>
      </c>
      <c r="D133" s="18" t="s">
        <v>552</v>
      </c>
      <c r="E133" s="16" t="s">
        <v>165</v>
      </c>
      <c r="F133" s="31" t="s">
        <v>28</v>
      </c>
      <c r="G133" s="27">
        <v>230750</v>
      </c>
      <c r="H133" s="26">
        <v>0.5</v>
      </c>
      <c r="I133" s="26">
        <f t="shared" si="6"/>
        <v>115375</v>
      </c>
      <c r="V133" t="b">
        <f t="shared" si="7"/>
        <v>0</v>
      </c>
      <c r="X133" t="str">
        <f t="shared" si="8"/>
        <v>41.01.0040</v>
      </c>
    </row>
    <row r="134" spans="1:24" x14ac:dyDescent="0.3">
      <c r="A134" s="19">
        <v>133</v>
      </c>
      <c r="B134" s="19">
        <v>1</v>
      </c>
      <c r="C134" s="18" t="s">
        <v>21</v>
      </c>
      <c r="D134" s="18" t="s">
        <v>553</v>
      </c>
      <c r="E134" s="16" t="s">
        <v>166</v>
      </c>
      <c r="F134" s="31" t="s">
        <v>30</v>
      </c>
      <c r="G134" s="27">
        <v>2950</v>
      </c>
      <c r="H134" s="26">
        <v>65</v>
      </c>
      <c r="I134" s="26">
        <f t="shared" si="6"/>
        <v>191750</v>
      </c>
      <c r="V134" t="b">
        <f t="shared" si="7"/>
        <v>0</v>
      </c>
      <c r="X134" t="str">
        <f t="shared" si="8"/>
        <v>41.01.0050</v>
      </c>
    </row>
    <row r="135" spans="1:24" ht="28.8" x14ac:dyDescent="0.3">
      <c r="A135" s="19">
        <v>134</v>
      </c>
      <c r="B135" s="19">
        <v>1</v>
      </c>
      <c r="C135" s="18" t="s">
        <v>21</v>
      </c>
      <c r="D135" s="18" t="s">
        <v>554</v>
      </c>
      <c r="E135" s="16" t="s">
        <v>167</v>
      </c>
      <c r="F135" s="19" t="s">
        <v>30</v>
      </c>
      <c r="G135" s="27">
        <v>500</v>
      </c>
      <c r="H135" s="26">
        <v>120</v>
      </c>
      <c r="I135" s="26">
        <f t="shared" si="6"/>
        <v>60000</v>
      </c>
      <c r="V135" t="b">
        <f t="shared" si="7"/>
        <v>0</v>
      </c>
      <c r="X135" t="str">
        <f t="shared" si="8"/>
        <v>41.01.0055</v>
      </c>
    </row>
    <row r="136" spans="1:24" ht="28.8" x14ac:dyDescent="0.3">
      <c r="A136" s="19">
        <v>135</v>
      </c>
      <c r="B136" s="19">
        <v>1</v>
      </c>
      <c r="C136" s="18" t="s">
        <v>25</v>
      </c>
      <c r="D136" s="18" t="s">
        <v>555</v>
      </c>
      <c r="E136" s="16" t="s">
        <v>168</v>
      </c>
      <c r="F136" s="19" t="s">
        <v>59</v>
      </c>
      <c r="G136" s="27">
        <v>10500</v>
      </c>
      <c r="H136" s="26">
        <v>21</v>
      </c>
      <c r="I136" s="26">
        <f t="shared" si="6"/>
        <v>220500</v>
      </c>
      <c r="V136" t="b">
        <f t="shared" si="7"/>
        <v>0</v>
      </c>
      <c r="X136" t="str">
        <f t="shared" si="8"/>
        <v>41.01.0300</v>
      </c>
    </row>
    <row r="137" spans="1:24" ht="28.8" x14ac:dyDescent="0.3">
      <c r="A137" s="19">
        <v>136</v>
      </c>
      <c r="B137" s="19">
        <v>1</v>
      </c>
      <c r="C137" s="18" t="s">
        <v>25</v>
      </c>
      <c r="D137" s="18" t="s">
        <v>556</v>
      </c>
      <c r="E137" s="16" t="s">
        <v>169</v>
      </c>
      <c r="F137" s="19" t="s">
        <v>59</v>
      </c>
      <c r="G137" s="27">
        <v>1500</v>
      </c>
      <c r="H137" s="26">
        <v>18</v>
      </c>
      <c r="I137" s="26">
        <f t="shared" si="6"/>
        <v>27000</v>
      </c>
      <c r="V137" t="b">
        <f t="shared" si="7"/>
        <v>0</v>
      </c>
      <c r="X137" t="str">
        <f t="shared" si="8"/>
        <v>41.01.0310</v>
      </c>
    </row>
    <row r="138" spans="1:24" ht="28.8" x14ac:dyDescent="0.3">
      <c r="A138" s="19">
        <v>137</v>
      </c>
      <c r="B138" s="19">
        <v>1</v>
      </c>
      <c r="C138" s="18" t="s">
        <v>25</v>
      </c>
      <c r="D138" s="18" t="s">
        <v>557</v>
      </c>
      <c r="E138" s="16" t="s">
        <v>170</v>
      </c>
      <c r="F138" s="31" t="s">
        <v>59</v>
      </c>
      <c r="G138" s="27">
        <v>400</v>
      </c>
      <c r="H138" s="26">
        <v>16</v>
      </c>
      <c r="I138" s="26">
        <f t="shared" si="6"/>
        <v>6400</v>
      </c>
      <c r="V138" t="b">
        <f t="shared" si="7"/>
        <v>0</v>
      </c>
      <c r="X138" t="str">
        <f t="shared" si="8"/>
        <v>41.01.0312</v>
      </c>
    </row>
    <row r="139" spans="1:24" ht="28.8" x14ac:dyDescent="0.3">
      <c r="A139" s="19">
        <v>138</v>
      </c>
      <c r="B139" s="19">
        <v>1</v>
      </c>
      <c r="C139" s="18" t="s">
        <v>25</v>
      </c>
      <c r="D139" s="18" t="s">
        <v>558</v>
      </c>
      <c r="E139" s="16" t="s">
        <v>171</v>
      </c>
      <c r="F139" s="31" t="s">
        <v>59</v>
      </c>
      <c r="G139" s="27">
        <v>5000</v>
      </c>
      <c r="H139" s="26">
        <v>16</v>
      </c>
      <c r="I139" s="26">
        <f t="shared" si="6"/>
        <v>80000</v>
      </c>
      <c r="V139" t="b">
        <f t="shared" si="7"/>
        <v>0</v>
      </c>
      <c r="X139" t="str">
        <f t="shared" si="8"/>
        <v>41.01.0313</v>
      </c>
    </row>
    <row r="140" spans="1:24" ht="43.2" x14ac:dyDescent="0.3">
      <c r="A140" s="19">
        <v>139</v>
      </c>
      <c r="B140" s="19">
        <v>1</v>
      </c>
      <c r="C140" s="18" t="s">
        <v>25</v>
      </c>
      <c r="D140" s="18" t="s">
        <v>559</v>
      </c>
      <c r="E140" s="16" t="s">
        <v>172</v>
      </c>
      <c r="F140" s="31" t="s">
        <v>59</v>
      </c>
      <c r="G140" s="27">
        <v>200000</v>
      </c>
      <c r="H140" s="26">
        <v>2.4</v>
      </c>
      <c r="I140" s="26">
        <f t="shared" si="6"/>
        <v>480000</v>
      </c>
      <c r="V140" t="b">
        <f t="shared" si="7"/>
        <v>0</v>
      </c>
      <c r="X140" t="str">
        <f t="shared" si="8"/>
        <v>41.01.0500</v>
      </c>
    </row>
    <row r="141" spans="1:24" ht="28.8" x14ac:dyDescent="0.3">
      <c r="A141" s="19">
        <v>140</v>
      </c>
      <c r="B141" s="19">
        <v>1</v>
      </c>
      <c r="C141" s="18" t="s">
        <v>25</v>
      </c>
      <c r="D141" s="18" t="s">
        <v>560</v>
      </c>
      <c r="E141" s="16" t="s">
        <v>173</v>
      </c>
      <c r="F141" s="31" t="s">
        <v>56</v>
      </c>
      <c r="G141" s="27">
        <v>38</v>
      </c>
      <c r="H141" s="26">
        <v>2500</v>
      </c>
      <c r="I141" s="26">
        <f t="shared" si="6"/>
        <v>95000</v>
      </c>
      <c r="V141" t="b">
        <f t="shared" si="7"/>
        <v>0</v>
      </c>
      <c r="X141" t="str">
        <f t="shared" si="8"/>
        <v>41.01.0820</v>
      </c>
    </row>
    <row r="142" spans="1:24" ht="28.8" x14ac:dyDescent="0.3">
      <c r="A142" s="19">
        <v>141</v>
      </c>
      <c r="B142" s="19">
        <v>1</v>
      </c>
      <c r="C142" s="18" t="s">
        <v>25</v>
      </c>
      <c r="D142" s="18" t="s">
        <v>561</v>
      </c>
      <c r="E142" s="16" t="s">
        <v>174</v>
      </c>
      <c r="F142" s="19" t="s">
        <v>56</v>
      </c>
      <c r="G142" s="27">
        <v>38</v>
      </c>
      <c r="H142" s="26">
        <v>1399</v>
      </c>
      <c r="I142" s="26">
        <f t="shared" si="6"/>
        <v>53162</v>
      </c>
      <c r="V142" t="b">
        <f t="shared" si="7"/>
        <v>0</v>
      </c>
      <c r="X142" t="str">
        <f t="shared" si="8"/>
        <v>41.01.0826</v>
      </c>
    </row>
    <row r="143" spans="1:24" x14ac:dyDescent="0.3">
      <c r="A143" s="19">
        <v>142</v>
      </c>
      <c r="B143" s="19">
        <v>1</v>
      </c>
      <c r="C143" s="18" t="s">
        <v>25</v>
      </c>
      <c r="D143" s="18" t="s">
        <v>562</v>
      </c>
      <c r="E143" s="16" t="s">
        <v>175</v>
      </c>
      <c r="F143" s="31" t="s">
        <v>56</v>
      </c>
      <c r="G143" s="27">
        <v>38</v>
      </c>
      <c r="H143" s="26">
        <v>5900</v>
      </c>
      <c r="I143" s="26">
        <f t="shared" si="6"/>
        <v>224200</v>
      </c>
      <c r="V143" t="b">
        <f t="shared" si="7"/>
        <v>0</v>
      </c>
      <c r="X143" t="str">
        <f t="shared" si="8"/>
        <v>41.01.0850</v>
      </c>
    </row>
    <row r="144" spans="1:24" ht="28.8" x14ac:dyDescent="0.3">
      <c r="A144" s="19">
        <v>143</v>
      </c>
      <c r="B144" s="19">
        <v>1</v>
      </c>
      <c r="C144" s="18" t="s">
        <v>25</v>
      </c>
      <c r="D144" s="18" t="s">
        <v>563</v>
      </c>
      <c r="E144" s="16" t="s">
        <v>176</v>
      </c>
      <c r="F144" s="31" t="s">
        <v>56</v>
      </c>
      <c r="G144" s="27">
        <v>20</v>
      </c>
      <c r="H144" s="26">
        <v>540</v>
      </c>
      <c r="I144" s="26">
        <f t="shared" si="6"/>
        <v>10800</v>
      </c>
      <c r="V144" t="b">
        <f t="shared" si="7"/>
        <v>0</v>
      </c>
      <c r="X144" t="str">
        <f t="shared" si="8"/>
        <v>41.01.0930</v>
      </c>
    </row>
    <row r="145" spans="1:24" ht="28.8" x14ac:dyDescent="0.3">
      <c r="A145" s="19">
        <v>144</v>
      </c>
      <c r="B145" s="19">
        <v>1</v>
      </c>
      <c r="C145" s="18" t="s">
        <v>25</v>
      </c>
      <c r="D145" s="18" t="s">
        <v>564</v>
      </c>
      <c r="E145" s="16" t="s">
        <v>177</v>
      </c>
      <c r="F145" s="31" t="s">
        <v>56</v>
      </c>
      <c r="G145" s="27">
        <v>100</v>
      </c>
      <c r="H145" s="26">
        <v>600</v>
      </c>
      <c r="I145" s="26">
        <f t="shared" si="6"/>
        <v>60000</v>
      </c>
      <c r="V145" t="b">
        <f t="shared" si="7"/>
        <v>0</v>
      </c>
      <c r="X145" t="str">
        <f t="shared" si="8"/>
        <v>41.01.0940</v>
      </c>
    </row>
    <row r="146" spans="1:24" x14ac:dyDescent="0.3">
      <c r="A146" s="19">
        <v>145</v>
      </c>
      <c r="B146" s="19">
        <v>1</v>
      </c>
      <c r="C146" s="18" t="s">
        <v>25</v>
      </c>
      <c r="D146" s="18" t="s">
        <v>565</v>
      </c>
      <c r="E146" s="16" t="s">
        <v>178</v>
      </c>
      <c r="F146" s="19" t="s">
        <v>56</v>
      </c>
      <c r="G146" s="27">
        <v>200</v>
      </c>
      <c r="H146" s="26">
        <v>20</v>
      </c>
      <c r="I146" s="26">
        <f t="shared" si="6"/>
        <v>4000</v>
      </c>
      <c r="V146" t="b">
        <f t="shared" si="7"/>
        <v>0</v>
      </c>
      <c r="X146" t="str">
        <f t="shared" si="8"/>
        <v>41.01.0980</v>
      </c>
    </row>
    <row r="147" spans="1:24" ht="28.8" x14ac:dyDescent="0.3">
      <c r="A147" s="19">
        <v>146</v>
      </c>
      <c r="B147" s="19">
        <v>1</v>
      </c>
      <c r="C147" s="18" t="s">
        <v>25</v>
      </c>
      <c r="D147" s="18" t="s">
        <v>566</v>
      </c>
      <c r="E147" s="16" t="s">
        <v>179</v>
      </c>
      <c r="F147" s="31" t="s">
        <v>56</v>
      </c>
      <c r="G147" s="27">
        <v>180</v>
      </c>
      <c r="H147" s="26">
        <v>238</v>
      </c>
      <c r="I147" s="26">
        <f t="shared" si="6"/>
        <v>42840</v>
      </c>
      <c r="V147" t="b">
        <f t="shared" si="7"/>
        <v>0</v>
      </c>
      <c r="X147" t="str">
        <f t="shared" si="8"/>
        <v>41.01.1010</v>
      </c>
    </row>
    <row r="148" spans="1:24" x14ac:dyDescent="0.3">
      <c r="A148" s="19">
        <v>147</v>
      </c>
      <c r="B148" s="19">
        <v>1</v>
      </c>
      <c r="C148" s="18" t="s">
        <v>25</v>
      </c>
      <c r="D148" s="18" t="s">
        <v>567</v>
      </c>
      <c r="E148" s="16" t="s">
        <v>180</v>
      </c>
      <c r="F148" s="31" t="s">
        <v>56</v>
      </c>
      <c r="G148" s="27">
        <v>38</v>
      </c>
      <c r="H148" s="26">
        <v>1531</v>
      </c>
      <c r="I148" s="26">
        <f t="shared" si="6"/>
        <v>58178</v>
      </c>
      <c r="V148" t="b">
        <f t="shared" si="7"/>
        <v>0</v>
      </c>
      <c r="X148" t="str">
        <f t="shared" si="8"/>
        <v>41.01.1050</v>
      </c>
    </row>
    <row r="149" spans="1:24" ht="28.8" x14ac:dyDescent="0.3">
      <c r="A149" s="19">
        <v>148</v>
      </c>
      <c r="B149" s="19">
        <v>1</v>
      </c>
      <c r="C149" s="18" t="s">
        <v>25</v>
      </c>
      <c r="D149" s="18" t="s">
        <v>568</v>
      </c>
      <c r="E149" s="16" t="s">
        <v>181</v>
      </c>
      <c r="F149" s="31" t="s">
        <v>56</v>
      </c>
      <c r="G149" s="27">
        <v>1</v>
      </c>
      <c r="H149" s="26">
        <v>23065</v>
      </c>
      <c r="I149" s="26">
        <f t="shared" si="6"/>
        <v>23065</v>
      </c>
      <c r="V149" t="b">
        <f t="shared" si="7"/>
        <v>0</v>
      </c>
      <c r="X149" t="str">
        <f t="shared" si="8"/>
        <v>41.01.1180</v>
      </c>
    </row>
    <row r="150" spans="1:24" ht="43.2" x14ac:dyDescent="0.3">
      <c r="A150" s="19">
        <v>149</v>
      </c>
      <c r="B150" s="19">
        <v>1</v>
      </c>
      <c r="C150" s="18" t="s">
        <v>25</v>
      </c>
      <c r="D150" s="18" t="s">
        <v>569</v>
      </c>
      <c r="E150" s="16" t="s">
        <v>182</v>
      </c>
      <c r="F150" s="31" t="s">
        <v>56</v>
      </c>
      <c r="G150" s="27">
        <v>42</v>
      </c>
      <c r="H150" s="26">
        <v>1200</v>
      </c>
      <c r="I150" s="26">
        <f t="shared" si="6"/>
        <v>50400</v>
      </c>
      <c r="V150" t="b">
        <f t="shared" si="7"/>
        <v>0</v>
      </c>
      <c r="X150" t="str">
        <f t="shared" si="8"/>
        <v>41.01.1239</v>
      </c>
    </row>
    <row r="151" spans="1:24" x14ac:dyDescent="0.3">
      <c r="A151" s="19">
        <v>150</v>
      </c>
      <c r="B151" s="19">
        <v>1</v>
      </c>
      <c r="C151" s="18" t="s">
        <v>21</v>
      </c>
      <c r="D151" s="18" t="s">
        <v>570</v>
      </c>
      <c r="E151" s="16" t="s">
        <v>183</v>
      </c>
      <c r="F151" s="31" t="s">
        <v>28</v>
      </c>
      <c r="G151" s="27">
        <v>4600</v>
      </c>
      <c r="H151" s="26">
        <v>3.8</v>
      </c>
      <c r="I151" s="26">
        <f t="shared" si="6"/>
        <v>17480</v>
      </c>
      <c r="V151" t="b">
        <f t="shared" si="7"/>
        <v>0</v>
      </c>
      <c r="X151" t="str">
        <f t="shared" si="8"/>
        <v>41.01.1260</v>
      </c>
    </row>
    <row r="152" spans="1:24" x14ac:dyDescent="0.3">
      <c r="A152" s="19">
        <v>151</v>
      </c>
      <c r="B152" s="19">
        <v>1</v>
      </c>
      <c r="C152" s="18" t="s">
        <v>21</v>
      </c>
      <c r="D152" s="18" t="s">
        <v>571</v>
      </c>
      <c r="E152" s="16" t="s">
        <v>184</v>
      </c>
      <c r="F152" s="19" t="s">
        <v>28</v>
      </c>
      <c r="G152" s="27">
        <v>90000</v>
      </c>
      <c r="H152" s="26">
        <v>3</v>
      </c>
      <c r="I152" s="26">
        <f t="shared" si="6"/>
        <v>270000</v>
      </c>
      <c r="V152" t="b">
        <f t="shared" si="7"/>
        <v>0</v>
      </c>
      <c r="X152" t="str">
        <f t="shared" si="8"/>
        <v>41.01.1270</v>
      </c>
    </row>
    <row r="153" spans="1:24" x14ac:dyDescent="0.3">
      <c r="A153" s="19">
        <v>152</v>
      </c>
      <c r="B153" s="19">
        <v>1</v>
      </c>
      <c r="C153" s="18" t="s">
        <v>21</v>
      </c>
      <c r="D153" s="18" t="s">
        <v>572</v>
      </c>
      <c r="E153" s="16" t="s">
        <v>185</v>
      </c>
      <c r="F153" s="19" t="s">
        <v>56</v>
      </c>
      <c r="G153" s="27">
        <v>23445</v>
      </c>
      <c r="H153" s="26">
        <v>29</v>
      </c>
      <c r="I153" s="26">
        <f t="shared" si="6"/>
        <v>679905</v>
      </c>
      <c r="V153" t="b">
        <f t="shared" si="7"/>
        <v>0</v>
      </c>
      <c r="X153" t="str">
        <f t="shared" si="8"/>
        <v>41.01.1330</v>
      </c>
    </row>
    <row r="154" spans="1:24" ht="28.8" x14ac:dyDescent="0.3">
      <c r="A154" s="19">
        <v>153</v>
      </c>
      <c r="B154" s="19">
        <v>1</v>
      </c>
      <c r="C154" s="18" t="s">
        <v>21</v>
      </c>
      <c r="D154" s="18" t="s">
        <v>573</v>
      </c>
      <c r="E154" s="16" t="s">
        <v>186</v>
      </c>
      <c r="F154" s="19" t="s">
        <v>56</v>
      </c>
      <c r="G154" s="27">
        <v>163</v>
      </c>
      <c r="H154" s="26">
        <v>686</v>
      </c>
      <c r="I154" s="26">
        <f t="shared" si="6"/>
        <v>111818</v>
      </c>
      <c r="V154" t="b">
        <f t="shared" si="7"/>
        <v>0</v>
      </c>
      <c r="X154" t="str">
        <f t="shared" si="8"/>
        <v>41.01.1462</v>
      </c>
    </row>
    <row r="155" spans="1:24" x14ac:dyDescent="0.3">
      <c r="A155" s="19">
        <v>154</v>
      </c>
      <c r="B155" s="19">
        <v>1</v>
      </c>
      <c r="C155" s="18" t="s">
        <v>21</v>
      </c>
      <c r="D155" s="18" t="s">
        <v>574</v>
      </c>
      <c r="E155" s="16" t="s">
        <v>187</v>
      </c>
      <c r="F155" s="19" t="s">
        <v>56</v>
      </c>
      <c r="G155" s="27">
        <v>25</v>
      </c>
      <c r="H155" s="26">
        <v>22</v>
      </c>
      <c r="I155" s="26">
        <f t="shared" si="6"/>
        <v>550</v>
      </c>
      <c r="V155" t="b">
        <f t="shared" si="7"/>
        <v>0</v>
      </c>
      <c r="X155" t="str">
        <f t="shared" si="8"/>
        <v>41.01.1475</v>
      </c>
    </row>
    <row r="156" spans="1:24" ht="43.2" x14ac:dyDescent="0.3">
      <c r="A156" s="19">
        <v>155</v>
      </c>
      <c r="B156" s="19">
        <v>1</v>
      </c>
      <c r="C156" s="18" t="s">
        <v>21</v>
      </c>
      <c r="D156" s="18" t="s">
        <v>575</v>
      </c>
      <c r="E156" s="16" t="s">
        <v>188</v>
      </c>
      <c r="F156" s="31" t="s">
        <v>419</v>
      </c>
      <c r="G156" s="27">
        <v>25</v>
      </c>
      <c r="H156" s="26">
        <v>184</v>
      </c>
      <c r="I156" s="26">
        <f t="shared" si="6"/>
        <v>4600</v>
      </c>
      <c r="V156" t="b">
        <f t="shared" si="7"/>
        <v>0</v>
      </c>
      <c r="X156" t="str">
        <f t="shared" si="8"/>
        <v>41.01.1705</v>
      </c>
    </row>
    <row r="157" spans="1:24" x14ac:dyDescent="0.3">
      <c r="A157" s="19">
        <v>156</v>
      </c>
      <c r="B157" s="19">
        <v>1</v>
      </c>
      <c r="C157" s="18" t="s">
        <v>21</v>
      </c>
      <c r="D157" s="18" t="s">
        <v>576</v>
      </c>
      <c r="E157" s="16" t="s">
        <v>189</v>
      </c>
      <c r="F157" s="19" t="s">
        <v>56</v>
      </c>
      <c r="G157" s="27">
        <v>163</v>
      </c>
      <c r="H157" s="26">
        <v>101</v>
      </c>
      <c r="I157" s="26">
        <f t="shared" si="6"/>
        <v>16463</v>
      </c>
      <c r="V157" t="b">
        <f t="shared" si="7"/>
        <v>0</v>
      </c>
      <c r="X157" t="str">
        <f t="shared" si="8"/>
        <v>41.01.1720</v>
      </c>
    </row>
    <row r="158" spans="1:24" ht="28.8" x14ac:dyDescent="0.3">
      <c r="A158" s="19">
        <v>157</v>
      </c>
      <c r="B158" s="19">
        <v>1</v>
      </c>
      <c r="C158" s="18" t="s">
        <v>25</v>
      </c>
      <c r="D158" s="18" t="s">
        <v>577</v>
      </c>
      <c r="E158" s="16" t="s">
        <v>190</v>
      </c>
      <c r="F158" s="19" t="s">
        <v>56</v>
      </c>
      <c r="G158" s="27">
        <v>7</v>
      </c>
      <c r="H158" s="26">
        <v>194</v>
      </c>
      <c r="I158" s="26">
        <f t="shared" si="6"/>
        <v>1358</v>
      </c>
      <c r="V158" t="b">
        <f t="shared" si="7"/>
        <v>0</v>
      </c>
      <c r="X158" t="str">
        <f t="shared" si="8"/>
        <v>41.01.1730</v>
      </c>
    </row>
    <row r="159" spans="1:24" ht="28.8" x14ac:dyDescent="0.3">
      <c r="A159" s="19">
        <v>158</v>
      </c>
      <c r="B159" s="19">
        <v>1</v>
      </c>
      <c r="C159" s="18" t="s">
        <v>25</v>
      </c>
      <c r="D159" s="18" t="s">
        <v>578</v>
      </c>
      <c r="E159" s="16" t="s">
        <v>191</v>
      </c>
      <c r="F159" s="19" t="s">
        <v>59</v>
      </c>
      <c r="G159" s="27">
        <v>150</v>
      </c>
      <c r="H159" s="26">
        <v>62</v>
      </c>
      <c r="I159" s="26">
        <f t="shared" si="6"/>
        <v>9300</v>
      </c>
      <c r="V159" t="b">
        <f t="shared" si="7"/>
        <v>0</v>
      </c>
      <c r="X159" t="str">
        <f t="shared" si="8"/>
        <v>41.01.2114</v>
      </c>
    </row>
    <row r="160" spans="1:24" x14ac:dyDescent="0.3">
      <c r="A160" s="19">
        <v>159</v>
      </c>
      <c r="B160" s="19">
        <v>1</v>
      </c>
      <c r="C160" s="18" t="s">
        <v>25</v>
      </c>
      <c r="D160" s="18" t="s">
        <v>579</v>
      </c>
      <c r="E160" s="16" t="s">
        <v>192</v>
      </c>
      <c r="F160" s="19" t="s">
        <v>59</v>
      </c>
      <c r="G160" s="27">
        <v>100</v>
      </c>
      <c r="H160" s="26">
        <v>52</v>
      </c>
      <c r="I160" s="26">
        <f t="shared" si="6"/>
        <v>5200</v>
      </c>
      <c r="V160" t="b">
        <f t="shared" si="7"/>
        <v>0</v>
      </c>
      <c r="X160" t="str">
        <f t="shared" si="8"/>
        <v>41.01.2291</v>
      </c>
    </row>
    <row r="161" spans="1:24" ht="72" x14ac:dyDescent="0.3">
      <c r="A161" s="19">
        <v>160</v>
      </c>
      <c r="B161" s="19">
        <v>1</v>
      </c>
      <c r="C161" s="18" t="s">
        <v>21</v>
      </c>
      <c r="D161" s="18" t="s">
        <v>580</v>
      </c>
      <c r="E161" s="16" t="s">
        <v>193</v>
      </c>
      <c r="F161" s="19" t="s">
        <v>28</v>
      </c>
      <c r="G161" s="27">
        <v>10000</v>
      </c>
      <c r="H161" s="26">
        <v>6</v>
      </c>
      <c r="I161" s="26">
        <f t="shared" si="6"/>
        <v>60000</v>
      </c>
      <c r="V161" t="b">
        <f t="shared" si="7"/>
        <v>0</v>
      </c>
      <c r="X161" t="str">
        <f t="shared" si="8"/>
        <v>41.01.5094</v>
      </c>
    </row>
    <row r="162" spans="1:24" ht="57.6" x14ac:dyDescent="0.3">
      <c r="A162" s="19">
        <v>161</v>
      </c>
      <c r="B162" s="19">
        <v>1</v>
      </c>
      <c r="C162" s="18" t="s">
        <v>21</v>
      </c>
      <c r="D162" s="18" t="s">
        <v>581</v>
      </c>
      <c r="E162" s="16" t="s">
        <v>194</v>
      </c>
      <c r="F162" s="31" t="s">
        <v>28</v>
      </c>
      <c r="G162" s="27">
        <v>10000</v>
      </c>
      <c r="H162" s="26">
        <v>7</v>
      </c>
      <c r="I162" s="26">
        <f t="shared" si="6"/>
        <v>70000</v>
      </c>
      <c r="V162" t="b">
        <f t="shared" si="7"/>
        <v>0</v>
      </c>
      <c r="X162" t="str">
        <f t="shared" si="8"/>
        <v>41.01.5198</v>
      </c>
    </row>
    <row r="163" spans="1:24" x14ac:dyDescent="0.3">
      <c r="A163" s="19">
        <v>162</v>
      </c>
      <c r="B163" s="19">
        <v>1</v>
      </c>
      <c r="C163" s="18" t="s">
        <v>195</v>
      </c>
      <c r="D163" s="18" t="s">
        <v>582</v>
      </c>
      <c r="E163" s="16" t="s">
        <v>196</v>
      </c>
      <c r="F163" s="31" t="s">
        <v>28</v>
      </c>
      <c r="G163" s="27">
        <v>33250</v>
      </c>
      <c r="H163" s="26">
        <v>7</v>
      </c>
      <c r="I163" s="26">
        <f t="shared" si="6"/>
        <v>232750</v>
      </c>
      <c r="V163" t="b">
        <f t="shared" si="7"/>
        <v>0</v>
      </c>
      <c r="X163" t="str">
        <f t="shared" si="8"/>
        <v>51.01.0020</v>
      </c>
    </row>
    <row r="164" spans="1:24" ht="28.8" x14ac:dyDescent="0.3">
      <c r="A164" s="19">
        <v>163</v>
      </c>
      <c r="B164" s="19">
        <v>1</v>
      </c>
      <c r="C164" s="18" t="s">
        <v>195</v>
      </c>
      <c r="D164" s="18" t="s">
        <v>583</v>
      </c>
      <c r="E164" s="16" t="s">
        <v>197</v>
      </c>
      <c r="F164" s="19" t="s">
        <v>28</v>
      </c>
      <c r="G164" s="27">
        <v>33250</v>
      </c>
      <c r="H164" s="26">
        <v>7</v>
      </c>
      <c r="I164" s="26">
        <f t="shared" si="6"/>
        <v>232750</v>
      </c>
      <c r="V164" t="b">
        <f t="shared" si="7"/>
        <v>0</v>
      </c>
      <c r="X164" t="str">
        <f t="shared" si="8"/>
        <v>51.01.0030</v>
      </c>
    </row>
    <row r="165" spans="1:24" ht="28.8" x14ac:dyDescent="0.3">
      <c r="A165" s="19">
        <v>164</v>
      </c>
      <c r="B165" s="19">
        <v>1</v>
      </c>
      <c r="C165" s="18" t="s">
        <v>195</v>
      </c>
      <c r="D165" s="18" t="s">
        <v>584</v>
      </c>
      <c r="E165" s="16" t="s">
        <v>198</v>
      </c>
      <c r="F165" s="19" t="s">
        <v>59</v>
      </c>
      <c r="G165" s="27">
        <v>5220</v>
      </c>
      <c r="H165" s="26">
        <v>8</v>
      </c>
      <c r="I165" s="26">
        <f t="shared" si="6"/>
        <v>41760</v>
      </c>
      <c r="V165" t="b">
        <f t="shared" si="7"/>
        <v>0</v>
      </c>
      <c r="X165" t="str">
        <f t="shared" si="8"/>
        <v>51.01.0055</v>
      </c>
    </row>
    <row r="166" spans="1:24" x14ac:dyDescent="0.3">
      <c r="A166" s="19">
        <v>165</v>
      </c>
      <c r="B166" s="19">
        <v>1</v>
      </c>
      <c r="C166" s="18" t="s">
        <v>195</v>
      </c>
      <c r="D166" s="18" t="s">
        <v>585</v>
      </c>
      <c r="E166" s="16" t="s">
        <v>199</v>
      </c>
      <c r="F166" s="19" t="s">
        <v>28</v>
      </c>
      <c r="G166" s="27">
        <v>100</v>
      </c>
      <c r="H166" s="26">
        <v>7.7</v>
      </c>
      <c r="I166" s="26">
        <f t="shared" si="6"/>
        <v>770</v>
      </c>
      <c r="V166" t="b">
        <f t="shared" si="7"/>
        <v>0</v>
      </c>
      <c r="X166" t="str">
        <f t="shared" si="8"/>
        <v>51.01.0080</v>
      </c>
    </row>
    <row r="167" spans="1:24" x14ac:dyDescent="0.3">
      <c r="A167" s="19">
        <v>166</v>
      </c>
      <c r="B167" s="19">
        <v>1</v>
      </c>
      <c r="C167" s="18" t="s">
        <v>195</v>
      </c>
      <c r="D167" s="18" t="s">
        <v>586</v>
      </c>
      <c r="E167" s="16" t="s">
        <v>200</v>
      </c>
      <c r="F167" s="19" t="s">
        <v>28</v>
      </c>
      <c r="G167" s="27">
        <v>22675</v>
      </c>
      <c r="H167" s="26">
        <v>8.1</v>
      </c>
      <c r="I167" s="26">
        <f t="shared" si="6"/>
        <v>183667.5</v>
      </c>
      <c r="V167" t="b">
        <f t="shared" si="7"/>
        <v>0</v>
      </c>
      <c r="X167" t="str">
        <f t="shared" si="8"/>
        <v>51.01.0100</v>
      </c>
    </row>
    <row r="168" spans="1:24" x14ac:dyDescent="0.3">
      <c r="A168" s="19">
        <v>167</v>
      </c>
      <c r="B168" s="19">
        <v>1</v>
      </c>
      <c r="C168" s="18" t="s">
        <v>195</v>
      </c>
      <c r="D168" s="18" t="s">
        <v>587</v>
      </c>
      <c r="E168" s="16" t="s">
        <v>201</v>
      </c>
      <c r="F168" s="19" t="s">
        <v>59</v>
      </c>
      <c r="G168" s="27">
        <v>17300</v>
      </c>
      <c r="H168" s="26">
        <v>8.1</v>
      </c>
      <c r="I168" s="26">
        <f t="shared" si="6"/>
        <v>140130</v>
      </c>
      <c r="V168" t="b">
        <f t="shared" si="7"/>
        <v>0</v>
      </c>
      <c r="X168" t="str">
        <f t="shared" si="8"/>
        <v>51.01.0110</v>
      </c>
    </row>
    <row r="169" spans="1:24" ht="28.8" x14ac:dyDescent="0.3">
      <c r="A169" s="19">
        <v>168</v>
      </c>
      <c r="B169" s="19">
        <v>1</v>
      </c>
      <c r="C169" s="18" t="s">
        <v>195</v>
      </c>
      <c r="D169" s="18" t="s">
        <v>588</v>
      </c>
      <c r="E169" s="16" t="s">
        <v>202</v>
      </c>
      <c r="F169" s="19" t="s">
        <v>56</v>
      </c>
      <c r="G169" s="27">
        <v>18</v>
      </c>
      <c r="H169" s="26">
        <v>360</v>
      </c>
      <c r="I169" s="26">
        <f t="shared" si="6"/>
        <v>6480</v>
      </c>
      <c r="V169" t="b">
        <f t="shared" si="7"/>
        <v>0</v>
      </c>
      <c r="X169" t="str">
        <f t="shared" si="8"/>
        <v>51.01.0130</v>
      </c>
    </row>
    <row r="170" spans="1:24" ht="43.2" x14ac:dyDescent="0.3">
      <c r="A170" s="19">
        <v>169</v>
      </c>
      <c r="B170" s="19">
        <v>1</v>
      </c>
      <c r="C170" s="18" t="s">
        <v>195</v>
      </c>
      <c r="D170" s="18" t="s">
        <v>589</v>
      </c>
      <c r="E170" s="16" t="s">
        <v>203</v>
      </c>
      <c r="F170" s="19" t="s">
        <v>56</v>
      </c>
      <c r="G170" s="27">
        <v>4</v>
      </c>
      <c r="H170" s="26">
        <v>611</v>
      </c>
      <c r="I170" s="26">
        <f t="shared" si="6"/>
        <v>2444</v>
      </c>
      <c r="V170" t="b">
        <f t="shared" si="7"/>
        <v>0</v>
      </c>
      <c r="X170" t="str">
        <f t="shared" si="8"/>
        <v>51.01.0134</v>
      </c>
    </row>
    <row r="171" spans="1:24" ht="28.8" x14ac:dyDescent="0.3">
      <c r="A171" s="19">
        <v>170</v>
      </c>
      <c r="B171" s="19">
        <v>1</v>
      </c>
      <c r="C171" s="18" t="s">
        <v>195</v>
      </c>
      <c r="D171" s="18" t="s">
        <v>590</v>
      </c>
      <c r="E171" s="16" t="s">
        <v>204</v>
      </c>
      <c r="F171" s="19" t="s">
        <v>56</v>
      </c>
      <c r="G171" s="27">
        <v>10</v>
      </c>
      <c r="H171" s="26">
        <v>326</v>
      </c>
      <c r="I171" s="26">
        <f t="shared" si="6"/>
        <v>3260</v>
      </c>
      <c r="V171" t="b">
        <f t="shared" si="7"/>
        <v>0</v>
      </c>
      <c r="X171" t="str">
        <f t="shared" si="8"/>
        <v>51.01.0140</v>
      </c>
    </row>
    <row r="172" spans="1:24" ht="28.8" x14ac:dyDescent="0.3">
      <c r="A172" s="19">
        <v>171</v>
      </c>
      <c r="B172" s="19">
        <v>1</v>
      </c>
      <c r="C172" s="18" t="s">
        <v>195</v>
      </c>
      <c r="D172" s="18" t="s">
        <v>591</v>
      </c>
      <c r="E172" s="16" t="s">
        <v>205</v>
      </c>
      <c r="F172" s="19" t="s">
        <v>56</v>
      </c>
      <c r="G172" s="27">
        <v>12</v>
      </c>
      <c r="H172" s="26">
        <v>356</v>
      </c>
      <c r="I172" s="26">
        <f t="shared" si="6"/>
        <v>4272</v>
      </c>
      <c r="V172" t="b">
        <f t="shared" si="7"/>
        <v>0</v>
      </c>
      <c r="X172" t="str">
        <f t="shared" si="8"/>
        <v>51.01.0160</v>
      </c>
    </row>
    <row r="173" spans="1:24" x14ac:dyDescent="0.3">
      <c r="A173" s="19">
        <v>172</v>
      </c>
      <c r="B173" s="19">
        <v>1</v>
      </c>
      <c r="C173" s="18" t="s">
        <v>195</v>
      </c>
      <c r="D173" s="18" t="s">
        <v>592</v>
      </c>
      <c r="E173" s="16" t="s">
        <v>206</v>
      </c>
      <c r="F173" s="19" t="s">
        <v>56</v>
      </c>
      <c r="G173" s="27">
        <v>260</v>
      </c>
      <c r="H173" s="26">
        <v>68</v>
      </c>
      <c r="I173" s="26">
        <f t="shared" si="6"/>
        <v>17680</v>
      </c>
      <c r="V173" t="b">
        <f t="shared" si="7"/>
        <v>0</v>
      </c>
      <c r="X173" t="str">
        <f t="shared" si="8"/>
        <v>51.01.0170</v>
      </c>
    </row>
    <row r="174" spans="1:24" ht="28.8" x14ac:dyDescent="0.3">
      <c r="A174" s="19">
        <v>173</v>
      </c>
      <c r="B174" s="19">
        <v>1</v>
      </c>
      <c r="C174" s="18" t="s">
        <v>195</v>
      </c>
      <c r="D174" s="18" t="s">
        <v>593</v>
      </c>
      <c r="E174" s="16" t="s">
        <v>207</v>
      </c>
      <c r="F174" s="19" t="s">
        <v>30</v>
      </c>
      <c r="G174" s="27">
        <v>150</v>
      </c>
      <c r="H174" s="26">
        <v>119</v>
      </c>
      <c r="I174" s="26">
        <f t="shared" si="6"/>
        <v>17850</v>
      </c>
      <c r="V174" t="b">
        <f t="shared" si="7"/>
        <v>0</v>
      </c>
      <c r="X174" t="str">
        <f t="shared" si="8"/>
        <v>51.01.0180</v>
      </c>
    </row>
    <row r="175" spans="1:24" ht="28.8" x14ac:dyDescent="0.3">
      <c r="A175" s="19">
        <v>174</v>
      </c>
      <c r="B175" s="19">
        <v>1</v>
      </c>
      <c r="C175" s="18" t="s">
        <v>195</v>
      </c>
      <c r="D175" s="18" t="s">
        <v>594</v>
      </c>
      <c r="E175" s="16" t="s">
        <v>208</v>
      </c>
      <c r="F175" s="19" t="s">
        <v>30</v>
      </c>
      <c r="G175" s="27">
        <v>40</v>
      </c>
      <c r="H175" s="26">
        <v>101</v>
      </c>
      <c r="I175" s="26">
        <f t="shared" si="6"/>
        <v>4040</v>
      </c>
      <c r="V175" t="b">
        <f t="shared" si="7"/>
        <v>0</v>
      </c>
      <c r="X175" t="str">
        <f t="shared" si="8"/>
        <v>51.01.0195</v>
      </c>
    </row>
    <row r="176" spans="1:24" ht="86.4" x14ac:dyDescent="0.3">
      <c r="A176" s="19">
        <v>175</v>
      </c>
      <c r="B176" s="19">
        <v>1</v>
      </c>
      <c r="C176" s="18" t="s">
        <v>195</v>
      </c>
      <c r="D176" s="18" t="s">
        <v>595</v>
      </c>
      <c r="E176" s="16" t="s">
        <v>209</v>
      </c>
      <c r="F176" s="31" t="s">
        <v>56</v>
      </c>
      <c r="G176" s="27">
        <v>6</v>
      </c>
      <c r="H176" s="26">
        <v>299</v>
      </c>
      <c r="I176" s="26">
        <f t="shared" si="6"/>
        <v>1794</v>
      </c>
      <c r="V176" t="b">
        <f t="shared" si="7"/>
        <v>0</v>
      </c>
      <c r="X176" t="str">
        <f t="shared" si="8"/>
        <v>51.01.0245</v>
      </c>
    </row>
    <row r="177" spans="1:24" ht="72" x14ac:dyDescent="0.3">
      <c r="A177" s="19">
        <v>176</v>
      </c>
      <c r="B177" s="19">
        <v>1</v>
      </c>
      <c r="C177" s="18" t="s">
        <v>195</v>
      </c>
      <c r="D177" s="18" t="s">
        <v>596</v>
      </c>
      <c r="E177" s="16" t="s">
        <v>210</v>
      </c>
      <c r="F177" s="31" t="s">
        <v>56</v>
      </c>
      <c r="G177" s="27">
        <v>16</v>
      </c>
      <c r="H177" s="26">
        <v>1426</v>
      </c>
      <c r="I177" s="26">
        <f t="shared" si="6"/>
        <v>22816</v>
      </c>
      <c r="V177" t="b">
        <f t="shared" si="7"/>
        <v>0</v>
      </c>
      <c r="X177" t="str">
        <f t="shared" si="8"/>
        <v>51.01.0294</v>
      </c>
    </row>
    <row r="178" spans="1:24" ht="28.8" x14ac:dyDescent="0.3">
      <c r="A178" s="19">
        <v>177</v>
      </c>
      <c r="B178" s="19">
        <v>1</v>
      </c>
      <c r="C178" s="18" t="s">
        <v>195</v>
      </c>
      <c r="D178" s="18" t="s">
        <v>597</v>
      </c>
      <c r="E178" s="16" t="s">
        <v>211</v>
      </c>
      <c r="F178" s="31" t="s">
        <v>56</v>
      </c>
      <c r="G178" s="27">
        <v>5</v>
      </c>
      <c r="H178" s="26">
        <v>462</v>
      </c>
      <c r="I178" s="26">
        <f t="shared" si="6"/>
        <v>2310</v>
      </c>
      <c r="V178" t="b">
        <f t="shared" si="7"/>
        <v>0</v>
      </c>
      <c r="X178" t="str">
        <f t="shared" si="8"/>
        <v>51.01.0330</v>
      </c>
    </row>
    <row r="179" spans="1:24" ht="28.8" x14ac:dyDescent="0.3">
      <c r="A179" s="19">
        <v>178</v>
      </c>
      <c r="B179" s="19">
        <v>1</v>
      </c>
      <c r="C179" s="18" t="s">
        <v>195</v>
      </c>
      <c r="D179" s="18" t="s">
        <v>598</v>
      </c>
      <c r="E179" s="16" t="s">
        <v>212</v>
      </c>
      <c r="F179" s="31" t="s">
        <v>56</v>
      </c>
      <c r="G179" s="27">
        <v>5</v>
      </c>
      <c r="H179" s="26">
        <v>446</v>
      </c>
      <c r="I179" s="26">
        <f t="shared" si="6"/>
        <v>2230</v>
      </c>
      <c r="V179" t="b">
        <f t="shared" si="7"/>
        <v>0</v>
      </c>
      <c r="X179" t="str">
        <f t="shared" si="8"/>
        <v>51.01.0360</v>
      </c>
    </row>
    <row r="180" spans="1:24" x14ac:dyDescent="0.3">
      <c r="A180" s="19">
        <v>179</v>
      </c>
      <c r="B180" s="19">
        <v>1</v>
      </c>
      <c r="C180" s="18" t="s">
        <v>195</v>
      </c>
      <c r="D180" s="18" t="s">
        <v>599</v>
      </c>
      <c r="E180" s="16" t="s">
        <v>213</v>
      </c>
      <c r="F180" s="31" t="s">
        <v>56</v>
      </c>
      <c r="G180" s="27">
        <v>2</v>
      </c>
      <c r="H180" s="26">
        <v>399</v>
      </c>
      <c r="I180" s="26">
        <f t="shared" si="6"/>
        <v>798</v>
      </c>
      <c r="V180" t="b">
        <f t="shared" si="7"/>
        <v>0</v>
      </c>
      <c r="X180" t="str">
        <f t="shared" si="8"/>
        <v>51.01.0370</v>
      </c>
    </row>
    <row r="181" spans="1:24" x14ac:dyDescent="0.3">
      <c r="A181" s="19">
        <v>180</v>
      </c>
      <c r="B181" s="19">
        <v>1</v>
      </c>
      <c r="C181" s="18" t="s">
        <v>195</v>
      </c>
      <c r="D181" s="18" t="s">
        <v>600</v>
      </c>
      <c r="E181" s="16" t="s">
        <v>214</v>
      </c>
      <c r="F181" s="31" t="s">
        <v>56</v>
      </c>
      <c r="G181" s="27">
        <v>39</v>
      </c>
      <c r="H181" s="26">
        <v>290</v>
      </c>
      <c r="I181" s="26">
        <f t="shared" si="6"/>
        <v>11310</v>
      </c>
      <c r="V181" t="b">
        <f t="shared" si="7"/>
        <v>0</v>
      </c>
      <c r="X181" t="str">
        <f t="shared" si="8"/>
        <v>51.01.0410</v>
      </c>
    </row>
    <row r="182" spans="1:24" ht="28.8" x14ac:dyDescent="0.3">
      <c r="A182" s="19">
        <v>181</v>
      </c>
      <c r="B182" s="19">
        <v>1</v>
      </c>
      <c r="C182" s="18" t="s">
        <v>195</v>
      </c>
      <c r="D182" s="18" t="s">
        <v>601</v>
      </c>
      <c r="E182" s="16" t="s">
        <v>215</v>
      </c>
      <c r="F182" s="31" t="s">
        <v>59</v>
      </c>
      <c r="G182" s="27">
        <v>100</v>
      </c>
      <c r="H182" s="26">
        <v>42</v>
      </c>
      <c r="I182" s="26">
        <f t="shared" si="6"/>
        <v>4200</v>
      </c>
      <c r="V182" t="b">
        <f t="shared" si="7"/>
        <v>0</v>
      </c>
      <c r="X182" t="str">
        <f t="shared" si="8"/>
        <v>51.01.0428</v>
      </c>
    </row>
    <row r="183" spans="1:24" ht="28.8" x14ac:dyDescent="0.3">
      <c r="A183" s="19">
        <v>182</v>
      </c>
      <c r="B183" s="19">
        <v>1</v>
      </c>
      <c r="C183" s="18" t="s">
        <v>195</v>
      </c>
      <c r="D183" s="18" t="s">
        <v>602</v>
      </c>
      <c r="E183" s="16" t="s">
        <v>216</v>
      </c>
      <c r="F183" s="31" t="s">
        <v>59</v>
      </c>
      <c r="G183" s="27">
        <v>50</v>
      </c>
      <c r="H183" s="26">
        <v>57</v>
      </c>
      <c r="I183" s="26">
        <f t="shared" si="6"/>
        <v>2850</v>
      </c>
      <c r="V183" t="b">
        <f t="shared" si="7"/>
        <v>0</v>
      </c>
      <c r="X183" t="str">
        <f t="shared" si="8"/>
        <v>51.01.0429</v>
      </c>
    </row>
    <row r="184" spans="1:24" ht="43.2" x14ac:dyDescent="0.3">
      <c r="A184" s="19">
        <v>183</v>
      </c>
      <c r="B184" s="19">
        <v>1</v>
      </c>
      <c r="C184" s="18" t="s">
        <v>195</v>
      </c>
      <c r="D184" s="18" t="s">
        <v>603</v>
      </c>
      <c r="E184" s="16" t="s">
        <v>217</v>
      </c>
      <c r="F184" s="31" t="s">
        <v>59</v>
      </c>
      <c r="G184" s="27">
        <v>50</v>
      </c>
      <c r="H184" s="26">
        <v>14</v>
      </c>
      <c r="I184" s="26">
        <f t="shared" si="6"/>
        <v>700</v>
      </c>
      <c r="V184" t="b">
        <f t="shared" si="7"/>
        <v>0</v>
      </c>
      <c r="X184" t="str">
        <f t="shared" si="8"/>
        <v>51.01.0440</v>
      </c>
    </row>
    <row r="185" spans="1:24" ht="43.2" x14ac:dyDescent="0.3">
      <c r="A185" s="19">
        <v>184</v>
      </c>
      <c r="B185" s="19">
        <v>1</v>
      </c>
      <c r="C185" s="18" t="s">
        <v>195</v>
      </c>
      <c r="D185" s="18" t="s">
        <v>604</v>
      </c>
      <c r="E185" s="16" t="s">
        <v>218</v>
      </c>
      <c r="F185" s="19" t="s">
        <v>59</v>
      </c>
      <c r="G185" s="27">
        <v>50</v>
      </c>
      <c r="H185" s="26">
        <v>24</v>
      </c>
      <c r="I185" s="26">
        <f t="shared" si="6"/>
        <v>1200</v>
      </c>
      <c r="V185" t="b">
        <f t="shared" si="7"/>
        <v>0</v>
      </c>
      <c r="X185" t="str">
        <f t="shared" si="8"/>
        <v>51.01.0450</v>
      </c>
    </row>
    <row r="186" spans="1:24" ht="43.2" x14ac:dyDescent="0.3">
      <c r="A186" s="19">
        <v>185</v>
      </c>
      <c r="B186" s="19">
        <v>1</v>
      </c>
      <c r="C186" s="18" t="s">
        <v>195</v>
      </c>
      <c r="D186" s="18" t="s">
        <v>605</v>
      </c>
      <c r="E186" s="16" t="s">
        <v>219</v>
      </c>
      <c r="F186" s="19" t="s">
        <v>59</v>
      </c>
      <c r="G186" s="27">
        <v>250</v>
      </c>
      <c r="H186" s="26">
        <v>52</v>
      </c>
      <c r="I186" s="26">
        <f t="shared" si="6"/>
        <v>13000</v>
      </c>
      <c r="V186" t="b">
        <f t="shared" si="7"/>
        <v>0</v>
      </c>
      <c r="X186" t="str">
        <f t="shared" si="8"/>
        <v>51.01.0480</v>
      </c>
    </row>
    <row r="187" spans="1:24" ht="28.8" x14ac:dyDescent="0.3">
      <c r="A187" s="19">
        <v>186</v>
      </c>
      <c r="B187" s="19">
        <v>1</v>
      </c>
      <c r="C187" s="18" t="s">
        <v>195</v>
      </c>
      <c r="D187" s="18" t="s">
        <v>606</v>
      </c>
      <c r="E187" s="16" t="s">
        <v>220</v>
      </c>
      <c r="F187" s="31" t="s">
        <v>59</v>
      </c>
      <c r="G187" s="27">
        <v>100</v>
      </c>
      <c r="H187" s="26">
        <v>48</v>
      </c>
      <c r="I187" s="26">
        <f t="shared" si="6"/>
        <v>4800</v>
      </c>
      <c r="V187" t="b">
        <f t="shared" si="7"/>
        <v>0</v>
      </c>
      <c r="X187" t="str">
        <f t="shared" si="8"/>
        <v>51.01.0570</v>
      </c>
    </row>
    <row r="188" spans="1:24" x14ac:dyDescent="0.3">
      <c r="A188" s="19">
        <v>187</v>
      </c>
      <c r="B188" s="19">
        <v>1</v>
      </c>
      <c r="C188" s="18" t="s">
        <v>195</v>
      </c>
      <c r="D188" s="18" t="s">
        <v>607</v>
      </c>
      <c r="E188" s="16" t="s">
        <v>221</v>
      </c>
      <c r="F188" s="19" t="s">
        <v>59</v>
      </c>
      <c r="G188" s="27">
        <v>900</v>
      </c>
      <c r="H188" s="26">
        <v>7</v>
      </c>
      <c r="I188" s="26">
        <f t="shared" si="6"/>
        <v>6300</v>
      </c>
      <c r="V188" t="b">
        <f t="shared" si="7"/>
        <v>0</v>
      </c>
      <c r="X188" t="str">
        <f t="shared" si="8"/>
        <v>51.01.0740</v>
      </c>
    </row>
    <row r="189" spans="1:24" ht="43.2" x14ac:dyDescent="0.3">
      <c r="A189" s="19">
        <v>188</v>
      </c>
      <c r="B189" s="19">
        <v>1</v>
      </c>
      <c r="C189" s="18" t="s">
        <v>195</v>
      </c>
      <c r="D189" s="18" t="s">
        <v>608</v>
      </c>
      <c r="E189" s="16" t="s">
        <v>222</v>
      </c>
      <c r="F189" s="31" t="s">
        <v>59</v>
      </c>
      <c r="G189" s="27">
        <v>100</v>
      </c>
      <c r="H189" s="26">
        <v>18</v>
      </c>
      <c r="I189" s="26">
        <f t="shared" si="6"/>
        <v>1800</v>
      </c>
      <c r="V189" t="b">
        <f t="shared" si="7"/>
        <v>0</v>
      </c>
      <c r="X189" t="str">
        <f t="shared" si="8"/>
        <v>51.01.0760</v>
      </c>
    </row>
    <row r="190" spans="1:24" ht="28.8" x14ac:dyDescent="0.3">
      <c r="A190" s="19">
        <v>189</v>
      </c>
      <c r="B190" s="19">
        <v>1</v>
      </c>
      <c r="C190" s="18" t="s">
        <v>195</v>
      </c>
      <c r="D190" s="18" t="s">
        <v>609</v>
      </c>
      <c r="E190" s="16" t="s">
        <v>223</v>
      </c>
      <c r="F190" s="31" t="s">
        <v>59</v>
      </c>
      <c r="G190" s="27">
        <v>12826</v>
      </c>
      <c r="H190" s="26">
        <v>12</v>
      </c>
      <c r="I190" s="26">
        <f t="shared" si="6"/>
        <v>153912</v>
      </c>
      <c r="V190" t="b">
        <f t="shared" si="7"/>
        <v>0</v>
      </c>
      <c r="X190" t="str">
        <f t="shared" si="8"/>
        <v>51.01.0810</v>
      </c>
    </row>
    <row r="191" spans="1:24" ht="28.8" x14ac:dyDescent="0.3">
      <c r="A191" s="19">
        <v>190</v>
      </c>
      <c r="B191" s="19">
        <v>1</v>
      </c>
      <c r="C191" s="18" t="s">
        <v>195</v>
      </c>
      <c r="D191" s="18" t="s">
        <v>610</v>
      </c>
      <c r="E191" s="16" t="s">
        <v>224</v>
      </c>
      <c r="F191" s="31" t="s">
        <v>59</v>
      </c>
      <c r="G191" s="27">
        <v>4525</v>
      </c>
      <c r="H191" s="26">
        <v>32.56</v>
      </c>
      <c r="I191" s="26">
        <f t="shared" si="6"/>
        <v>147334</v>
      </c>
      <c r="V191" t="b">
        <f t="shared" si="7"/>
        <v>0</v>
      </c>
      <c r="X191" t="str">
        <f t="shared" si="8"/>
        <v>51.01.0820</v>
      </c>
    </row>
    <row r="192" spans="1:24" x14ac:dyDescent="0.3">
      <c r="A192" s="19">
        <v>191</v>
      </c>
      <c r="B192" s="19">
        <v>1</v>
      </c>
      <c r="C192" s="18" t="s">
        <v>195</v>
      </c>
      <c r="D192" s="18" t="s">
        <v>611</v>
      </c>
      <c r="E192" s="16" t="s">
        <v>225</v>
      </c>
      <c r="F192" s="31" t="s">
        <v>56</v>
      </c>
      <c r="G192" s="27">
        <v>350</v>
      </c>
      <c r="H192" s="26">
        <v>123</v>
      </c>
      <c r="I192" s="26">
        <f t="shared" si="6"/>
        <v>43050</v>
      </c>
      <c r="V192" t="b">
        <f t="shared" si="7"/>
        <v>0</v>
      </c>
      <c r="X192" t="str">
        <f t="shared" si="8"/>
        <v>51.01.1001</v>
      </c>
    </row>
    <row r="193" spans="1:24" ht="28.8" x14ac:dyDescent="0.3">
      <c r="A193" s="19">
        <v>192</v>
      </c>
      <c r="B193" s="19">
        <v>1</v>
      </c>
      <c r="C193" s="18" t="s">
        <v>195</v>
      </c>
      <c r="D193" s="18" t="s">
        <v>612</v>
      </c>
      <c r="E193" s="16" t="s">
        <v>226</v>
      </c>
      <c r="F193" s="19" t="s">
        <v>56</v>
      </c>
      <c r="G193" s="27">
        <v>18</v>
      </c>
      <c r="H193" s="26">
        <v>123</v>
      </c>
      <c r="I193" s="26">
        <f t="shared" si="6"/>
        <v>2214</v>
      </c>
      <c r="V193" t="b">
        <f t="shared" si="7"/>
        <v>0</v>
      </c>
      <c r="X193" t="str">
        <f t="shared" si="8"/>
        <v>51.01.1005</v>
      </c>
    </row>
    <row r="194" spans="1:24" ht="28.8" x14ac:dyDescent="0.3">
      <c r="A194" s="19">
        <v>193</v>
      </c>
      <c r="B194" s="19">
        <v>1</v>
      </c>
      <c r="C194" s="18" t="s">
        <v>195</v>
      </c>
      <c r="D194" s="18" t="s">
        <v>613</v>
      </c>
      <c r="E194" s="16" t="s">
        <v>227</v>
      </c>
      <c r="F194" s="19" t="s">
        <v>56</v>
      </c>
      <c r="G194" s="27">
        <v>5</v>
      </c>
      <c r="H194" s="26">
        <v>216</v>
      </c>
      <c r="I194" s="26">
        <f t="shared" si="6"/>
        <v>1080</v>
      </c>
      <c r="V194" t="b">
        <f t="shared" si="7"/>
        <v>0</v>
      </c>
      <c r="X194" t="str">
        <f t="shared" si="8"/>
        <v>51.01.1040</v>
      </c>
    </row>
    <row r="195" spans="1:24" ht="43.2" x14ac:dyDescent="0.3">
      <c r="A195" s="19">
        <v>194</v>
      </c>
      <c r="B195" s="19">
        <v>1</v>
      </c>
      <c r="C195" s="18" t="s">
        <v>195</v>
      </c>
      <c r="D195" s="18" t="s">
        <v>614</v>
      </c>
      <c r="E195" s="16" t="s">
        <v>228</v>
      </c>
      <c r="F195" s="19" t="s">
        <v>30</v>
      </c>
      <c r="G195" s="27">
        <v>10000</v>
      </c>
      <c r="H195" s="26">
        <v>97</v>
      </c>
      <c r="I195" s="26">
        <f t="shared" ref="I195:I258" si="9">H195*G195</f>
        <v>970000</v>
      </c>
      <c r="V195" t="b">
        <f t="shared" ref="V195:V258" si="10">COUNTIF($D:$D, D195) &gt; 1</f>
        <v>0</v>
      </c>
      <c r="X195" t="str">
        <f t="shared" ref="X195:X258" si="11">MID(D195,3,LEN(D195)-2)</f>
        <v>51.01.1048</v>
      </c>
    </row>
    <row r="196" spans="1:24" x14ac:dyDescent="0.3">
      <c r="A196" s="19">
        <v>195</v>
      </c>
      <c r="B196" s="19">
        <v>1</v>
      </c>
      <c r="C196" s="18" t="s">
        <v>195</v>
      </c>
      <c r="D196" s="18" t="s">
        <v>615</v>
      </c>
      <c r="E196" s="16" t="s">
        <v>229</v>
      </c>
      <c r="F196" s="19" t="s">
        <v>28</v>
      </c>
      <c r="G196" s="27">
        <v>8000</v>
      </c>
      <c r="H196" s="26">
        <v>1.2</v>
      </c>
      <c r="I196" s="26">
        <f t="shared" si="9"/>
        <v>9600</v>
      </c>
      <c r="V196" t="b">
        <f t="shared" si="10"/>
        <v>0</v>
      </c>
      <c r="X196" t="str">
        <f t="shared" si="11"/>
        <v>51.01.1055</v>
      </c>
    </row>
    <row r="197" spans="1:24" x14ac:dyDescent="0.3">
      <c r="A197" s="19">
        <v>196</v>
      </c>
      <c r="B197" s="19">
        <v>1</v>
      </c>
      <c r="C197" s="18" t="s">
        <v>195</v>
      </c>
      <c r="D197" s="18" t="s">
        <v>616</v>
      </c>
      <c r="E197" s="16" t="s">
        <v>230</v>
      </c>
      <c r="F197" s="19" t="s">
        <v>28</v>
      </c>
      <c r="G197" s="27">
        <v>50000</v>
      </c>
      <c r="H197" s="26">
        <v>1.39</v>
      </c>
      <c r="I197" s="26">
        <f t="shared" si="9"/>
        <v>69500</v>
      </c>
      <c r="V197" t="b">
        <f t="shared" si="10"/>
        <v>0</v>
      </c>
      <c r="X197" t="str">
        <f t="shared" si="11"/>
        <v>51.01.1060</v>
      </c>
    </row>
    <row r="198" spans="1:24" x14ac:dyDescent="0.3">
      <c r="A198" s="19">
        <v>197</v>
      </c>
      <c r="B198" s="19">
        <v>1</v>
      </c>
      <c r="C198" s="18" t="s">
        <v>195</v>
      </c>
      <c r="D198" s="18" t="s">
        <v>617</v>
      </c>
      <c r="E198" s="16" t="s">
        <v>231</v>
      </c>
      <c r="F198" s="19" t="s">
        <v>28</v>
      </c>
      <c r="G198" s="27">
        <v>157000</v>
      </c>
      <c r="H198" s="26">
        <v>1.7</v>
      </c>
      <c r="I198" s="26">
        <f t="shared" si="9"/>
        <v>266900</v>
      </c>
      <c r="V198" t="b">
        <f t="shared" si="10"/>
        <v>0</v>
      </c>
      <c r="X198" t="str">
        <f t="shared" si="11"/>
        <v>51.01.1061</v>
      </c>
    </row>
    <row r="199" spans="1:24" ht="43.2" x14ac:dyDescent="0.3">
      <c r="A199" s="19">
        <v>198</v>
      </c>
      <c r="B199" s="19">
        <v>1</v>
      </c>
      <c r="C199" s="18" t="s">
        <v>195</v>
      </c>
      <c r="D199" s="18" t="s">
        <v>618</v>
      </c>
      <c r="E199" s="16" t="s">
        <v>232</v>
      </c>
      <c r="F199" s="19" t="s">
        <v>28</v>
      </c>
      <c r="G199" s="27">
        <v>20000</v>
      </c>
      <c r="H199" s="26">
        <v>4.59</v>
      </c>
      <c r="I199" s="26">
        <f t="shared" si="9"/>
        <v>91800</v>
      </c>
      <c r="V199" t="b">
        <f t="shared" si="10"/>
        <v>0</v>
      </c>
      <c r="X199" t="str">
        <f t="shared" si="11"/>
        <v>51.01.1062</v>
      </c>
    </row>
    <row r="200" spans="1:24" ht="43.2" x14ac:dyDescent="0.3">
      <c r="A200" s="19">
        <v>199</v>
      </c>
      <c r="B200" s="19">
        <v>1</v>
      </c>
      <c r="C200" s="18" t="s">
        <v>195</v>
      </c>
      <c r="D200" s="18" t="s">
        <v>619</v>
      </c>
      <c r="E200" s="16" t="s">
        <v>233</v>
      </c>
      <c r="F200" s="19" t="s">
        <v>30</v>
      </c>
      <c r="G200" s="27">
        <v>10000</v>
      </c>
      <c r="H200" s="26">
        <v>14.21</v>
      </c>
      <c r="I200" s="26">
        <f t="shared" si="9"/>
        <v>142100</v>
      </c>
      <c r="V200" t="b">
        <f t="shared" si="10"/>
        <v>0</v>
      </c>
      <c r="X200" t="str">
        <f t="shared" si="11"/>
        <v>51.01.1064</v>
      </c>
    </row>
    <row r="201" spans="1:24" x14ac:dyDescent="0.3">
      <c r="A201" s="19">
        <v>200</v>
      </c>
      <c r="B201" s="19">
        <v>1</v>
      </c>
      <c r="C201" s="18" t="s">
        <v>195</v>
      </c>
      <c r="D201" s="18" t="s">
        <v>620</v>
      </c>
      <c r="E201" s="16" t="s">
        <v>234</v>
      </c>
      <c r="F201" s="19" t="s">
        <v>28</v>
      </c>
      <c r="G201" s="27">
        <v>130000</v>
      </c>
      <c r="H201" s="26">
        <v>0.53</v>
      </c>
      <c r="I201" s="26">
        <f t="shared" si="9"/>
        <v>68900</v>
      </c>
      <c r="V201" t="b">
        <f t="shared" si="10"/>
        <v>0</v>
      </c>
      <c r="X201" t="str">
        <f t="shared" si="11"/>
        <v>51.01.1080</v>
      </c>
    </row>
    <row r="202" spans="1:24" ht="28.8" x14ac:dyDescent="0.3">
      <c r="A202" s="19">
        <v>201</v>
      </c>
      <c r="B202" s="19">
        <v>1</v>
      </c>
      <c r="C202" s="18" t="s">
        <v>195</v>
      </c>
      <c r="D202" s="18" t="s">
        <v>621</v>
      </c>
      <c r="E202" s="16" t="s">
        <v>235</v>
      </c>
      <c r="F202" s="19" t="s">
        <v>30</v>
      </c>
      <c r="G202" s="27">
        <v>100</v>
      </c>
      <c r="H202" s="26">
        <v>106</v>
      </c>
      <c r="I202" s="26">
        <f t="shared" si="9"/>
        <v>10600</v>
      </c>
      <c r="V202" t="b">
        <f t="shared" si="10"/>
        <v>0</v>
      </c>
      <c r="X202" t="str">
        <f t="shared" si="11"/>
        <v>51.01.1097</v>
      </c>
    </row>
    <row r="203" spans="1:24" ht="28.8" x14ac:dyDescent="0.3">
      <c r="A203" s="19">
        <v>202</v>
      </c>
      <c r="B203" s="19">
        <v>1</v>
      </c>
      <c r="C203" s="18" t="s">
        <v>195</v>
      </c>
      <c r="D203" s="18" t="s">
        <v>622</v>
      </c>
      <c r="E203" s="16" t="s">
        <v>236</v>
      </c>
      <c r="F203" s="19" t="s">
        <v>28</v>
      </c>
      <c r="G203" s="27">
        <v>100</v>
      </c>
      <c r="H203" s="26">
        <v>14</v>
      </c>
      <c r="I203" s="26">
        <f t="shared" si="9"/>
        <v>1400</v>
      </c>
      <c r="V203" t="b">
        <f t="shared" si="10"/>
        <v>0</v>
      </c>
      <c r="X203" t="str">
        <f t="shared" si="11"/>
        <v>51.01.1110</v>
      </c>
    </row>
    <row r="204" spans="1:24" ht="28.8" x14ac:dyDescent="0.3">
      <c r="A204" s="19">
        <v>203</v>
      </c>
      <c r="B204" s="19">
        <v>1</v>
      </c>
      <c r="C204" s="18" t="s">
        <v>195</v>
      </c>
      <c r="D204" s="18" t="s">
        <v>623</v>
      </c>
      <c r="E204" s="16" t="s">
        <v>237</v>
      </c>
      <c r="F204" s="19" t="s">
        <v>28</v>
      </c>
      <c r="G204" s="27">
        <v>22344</v>
      </c>
      <c r="H204" s="26">
        <v>13</v>
      </c>
      <c r="I204" s="26">
        <f t="shared" si="9"/>
        <v>290472</v>
      </c>
      <c r="V204" t="b">
        <f t="shared" si="10"/>
        <v>0</v>
      </c>
      <c r="X204" t="str">
        <f t="shared" si="11"/>
        <v>51.01.1120</v>
      </c>
    </row>
    <row r="205" spans="1:24" ht="28.8" x14ac:dyDescent="0.3">
      <c r="A205" s="19">
        <v>204</v>
      </c>
      <c r="B205" s="19">
        <v>1</v>
      </c>
      <c r="C205" s="18" t="s">
        <v>195</v>
      </c>
      <c r="D205" s="18" t="s">
        <v>624</v>
      </c>
      <c r="E205" s="16" t="s">
        <v>238</v>
      </c>
      <c r="F205" s="31" t="s">
        <v>419</v>
      </c>
      <c r="G205" s="27">
        <v>5</v>
      </c>
      <c r="H205" s="26">
        <v>2576</v>
      </c>
      <c r="I205" s="26">
        <f t="shared" si="9"/>
        <v>12880</v>
      </c>
      <c r="V205" t="b">
        <f t="shared" si="10"/>
        <v>0</v>
      </c>
      <c r="X205" t="str">
        <f t="shared" si="11"/>
        <v>51.01.1150</v>
      </c>
    </row>
    <row r="206" spans="1:24" ht="28.8" x14ac:dyDescent="0.3">
      <c r="A206" s="19">
        <v>205</v>
      </c>
      <c r="B206" s="19">
        <v>1</v>
      </c>
      <c r="C206" s="18" t="s">
        <v>195</v>
      </c>
      <c r="D206" s="18" t="s">
        <v>625</v>
      </c>
      <c r="E206" s="16" t="s">
        <v>239</v>
      </c>
      <c r="F206" s="31" t="s">
        <v>419</v>
      </c>
      <c r="G206" s="27">
        <v>2</v>
      </c>
      <c r="H206" s="26">
        <v>8800</v>
      </c>
      <c r="I206" s="26">
        <f t="shared" si="9"/>
        <v>17600</v>
      </c>
      <c r="V206" t="b">
        <f t="shared" si="10"/>
        <v>0</v>
      </c>
      <c r="X206" t="str">
        <f t="shared" si="11"/>
        <v>51.01.1165</v>
      </c>
    </row>
    <row r="207" spans="1:24" ht="28.8" x14ac:dyDescent="0.3">
      <c r="A207" s="19">
        <v>206</v>
      </c>
      <c r="B207" s="19">
        <v>1</v>
      </c>
      <c r="C207" s="18" t="s">
        <v>195</v>
      </c>
      <c r="D207" s="18" t="s">
        <v>626</v>
      </c>
      <c r="E207" s="16" t="s">
        <v>240</v>
      </c>
      <c r="F207" s="19" t="s">
        <v>59</v>
      </c>
      <c r="G207" s="27">
        <v>10000</v>
      </c>
      <c r="H207" s="26">
        <v>52</v>
      </c>
      <c r="I207" s="26">
        <f t="shared" si="9"/>
        <v>520000</v>
      </c>
      <c r="V207" t="b">
        <f t="shared" si="10"/>
        <v>0</v>
      </c>
      <c r="X207" t="str">
        <f t="shared" si="11"/>
        <v>51.01.1170</v>
      </c>
    </row>
    <row r="208" spans="1:24" ht="28.8" x14ac:dyDescent="0.3">
      <c r="A208" s="19">
        <v>207</v>
      </c>
      <c r="B208" s="19">
        <v>1</v>
      </c>
      <c r="C208" s="18" t="s">
        <v>195</v>
      </c>
      <c r="D208" s="18" t="s">
        <v>627</v>
      </c>
      <c r="E208" s="16" t="s">
        <v>241</v>
      </c>
      <c r="F208" s="19" t="s">
        <v>30</v>
      </c>
      <c r="G208" s="27">
        <v>10</v>
      </c>
      <c r="H208" s="26">
        <v>268</v>
      </c>
      <c r="I208" s="26">
        <f t="shared" si="9"/>
        <v>2680</v>
      </c>
      <c r="V208" t="b">
        <f t="shared" si="10"/>
        <v>0</v>
      </c>
      <c r="X208" t="str">
        <f t="shared" si="11"/>
        <v>51.01.1190</v>
      </c>
    </row>
    <row r="209" spans="1:24" x14ac:dyDescent="0.3">
      <c r="A209" s="19">
        <v>208</v>
      </c>
      <c r="B209" s="19">
        <v>1</v>
      </c>
      <c r="C209" s="18" t="s">
        <v>195</v>
      </c>
      <c r="D209" s="18" t="s">
        <v>628</v>
      </c>
      <c r="E209" s="16" t="s">
        <v>242</v>
      </c>
      <c r="F209" s="31" t="s">
        <v>419</v>
      </c>
      <c r="G209" s="27">
        <v>128</v>
      </c>
      <c r="H209" s="26">
        <v>524</v>
      </c>
      <c r="I209" s="26">
        <f t="shared" si="9"/>
        <v>67072</v>
      </c>
      <c r="V209" t="b">
        <f t="shared" si="10"/>
        <v>0</v>
      </c>
      <c r="X209" t="str">
        <f t="shared" si="11"/>
        <v>51.01.1196</v>
      </c>
    </row>
    <row r="210" spans="1:24" ht="43.2" x14ac:dyDescent="0.3">
      <c r="A210" s="19">
        <v>209</v>
      </c>
      <c r="B210" s="19">
        <v>1</v>
      </c>
      <c r="C210" s="18" t="s">
        <v>195</v>
      </c>
      <c r="D210" s="18" t="s">
        <v>629</v>
      </c>
      <c r="E210" s="16" t="s">
        <v>243</v>
      </c>
      <c r="F210" s="31" t="s">
        <v>419</v>
      </c>
      <c r="G210" s="27">
        <v>12</v>
      </c>
      <c r="H210" s="26">
        <v>1216</v>
      </c>
      <c r="I210" s="26">
        <f t="shared" si="9"/>
        <v>14592</v>
      </c>
      <c r="V210" t="b">
        <f t="shared" si="10"/>
        <v>0</v>
      </c>
      <c r="X210" t="str">
        <f t="shared" si="11"/>
        <v>51.01.1198</v>
      </c>
    </row>
    <row r="211" spans="1:24" ht="28.8" x14ac:dyDescent="0.3">
      <c r="A211" s="19">
        <v>210</v>
      </c>
      <c r="B211" s="19">
        <v>1</v>
      </c>
      <c r="C211" s="18" t="s">
        <v>195</v>
      </c>
      <c r="D211" s="18" t="s">
        <v>630</v>
      </c>
      <c r="E211" s="16" t="s">
        <v>244</v>
      </c>
      <c r="F211" s="19" t="s">
        <v>30</v>
      </c>
      <c r="G211" s="27">
        <v>20</v>
      </c>
      <c r="H211" s="26">
        <v>167</v>
      </c>
      <c r="I211" s="26">
        <f t="shared" si="9"/>
        <v>3340</v>
      </c>
      <c r="V211" t="b">
        <f t="shared" si="10"/>
        <v>0</v>
      </c>
      <c r="X211" t="str">
        <f t="shared" si="11"/>
        <v>51.01.1200</v>
      </c>
    </row>
    <row r="212" spans="1:24" ht="28.8" x14ac:dyDescent="0.3">
      <c r="A212" s="19">
        <v>211</v>
      </c>
      <c r="B212" s="19">
        <v>1</v>
      </c>
      <c r="C212" s="18" t="s">
        <v>195</v>
      </c>
      <c r="D212" s="18" t="s">
        <v>631</v>
      </c>
      <c r="E212" s="16" t="s">
        <v>245</v>
      </c>
      <c r="F212" s="19" t="s">
        <v>30</v>
      </c>
      <c r="G212" s="27">
        <v>20</v>
      </c>
      <c r="H212" s="26">
        <v>163</v>
      </c>
      <c r="I212" s="26">
        <f t="shared" si="9"/>
        <v>3260</v>
      </c>
      <c r="V212" t="b">
        <f t="shared" si="10"/>
        <v>0</v>
      </c>
      <c r="X212" t="str">
        <f t="shared" si="11"/>
        <v>51.01.1201</v>
      </c>
    </row>
    <row r="213" spans="1:24" ht="28.8" x14ac:dyDescent="0.3">
      <c r="A213" s="19">
        <v>212</v>
      </c>
      <c r="B213" s="19">
        <v>1</v>
      </c>
      <c r="C213" s="18" t="s">
        <v>195</v>
      </c>
      <c r="D213" s="18" t="s">
        <v>632</v>
      </c>
      <c r="E213" s="16" t="s">
        <v>246</v>
      </c>
      <c r="F213" s="31" t="s">
        <v>59</v>
      </c>
      <c r="G213" s="27">
        <v>100</v>
      </c>
      <c r="H213" s="26">
        <v>163</v>
      </c>
      <c r="I213" s="26">
        <f t="shared" si="9"/>
        <v>16300</v>
      </c>
      <c r="V213" t="b">
        <f t="shared" si="10"/>
        <v>0</v>
      </c>
      <c r="X213" t="str">
        <f t="shared" si="11"/>
        <v>51.01.1205</v>
      </c>
    </row>
    <row r="214" spans="1:24" x14ac:dyDescent="0.3">
      <c r="A214" s="19">
        <v>213</v>
      </c>
      <c r="B214" s="19">
        <v>1</v>
      </c>
      <c r="C214" s="18" t="s">
        <v>195</v>
      </c>
      <c r="D214" s="18" t="s">
        <v>633</v>
      </c>
      <c r="E214" s="16" t="s">
        <v>247</v>
      </c>
      <c r="F214" s="19" t="s">
        <v>56</v>
      </c>
      <c r="G214" s="27">
        <v>10</v>
      </c>
      <c r="H214" s="26">
        <v>458</v>
      </c>
      <c r="I214" s="26">
        <f t="shared" si="9"/>
        <v>4580</v>
      </c>
      <c r="V214" t="b">
        <f t="shared" si="10"/>
        <v>0</v>
      </c>
      <c r="X214" t="str">
        <f t="shared" si="11"/>
        <v>51.01.1211</v>
      </c>
    </row>
    <row r="215" spans="1:24" ht="28.8" x14ac:dyDescent="0.3">
      <c r="A215" s="19">
        <v>214</v>
      </c>
      <c r="B215" s="19">
        <v>1</v>
      </c>
      <c r="C215" s="18" t="s">
        <v>195</v>
      </c>
      <c r="D215" s="18" t="s">
        <v>634</v>
      </c>
      <c r="E215" s="16" t="s">
        <v>248</v>
      </c>
      <c r="F215" s="19" t="s">
        <v>30</v>
      </c>
      <c r="G215" s="27">
        <v>1000</v>
      </c>
      <c r="H215" s="26">
        <v>53</v>
      </c>
      <c r="I215" s="26">
        <f t="shared" si="9"/>
        <v>53000</v>
      </c>
      <c r="V215" t="b">
        <f t="shared" si="10"/>
        <v>0</v>
      </c>
      <c r="X215" t="str">
        <f t="shared" si="11"/>
        <v>51.01.1241</v>
      </c>
    </row>
    <row r="216" spans="1:24" ht="28.8" x14ac:dyDescent="0.3">
      <c r="A216" s="19">
        <v>215</v>
      </c>
      <c r="B216" s="19">
        <v>1</v>
      </c>
      <c r="C216" s="18" t="s">
        <v>195</v>
      </c>
      <c r="D216" s="18" t="s">
        <v>635</v>
      </c>
      <c r="E216" s="16" t="s">
        <v>249</v>
      </c>
      <c r="F216" s="19" t="s">
        <v>59</v>
      </c>
      <c r="G216" s="27">
        <v>1000</v>
      </c>
      <c r="H216" s="26">
        <v>2</v>
      </c>
      <c r="I216" s="26">
        <f t="shared" si="9"/>
        <v>2000</v>
      </c>
      <c r="V216" t="b">
        <f t="shared" si="10"/>
        <v>0</v>
      </c>
      <c r="X216" t="str">
        <f t="shared" si="11"/>
        <v>51.01.1242</v>
      </c>
    </row>
    <row r="217" spans="1:24" ht="28.8" x14ac:dyDescent="0.3">
      <c r="A217" s="19">
        <v>216</v>
      </c>
      <c r="B217" s="19">
        <v>1</v>
      </c>
      <c r="C217" s="18" t="s">
        <v>195</v>
      </c>
      <c r="D217" s="18" t="s">
        <v>636</v>
      </c>
      <c r="E217" s="16" t="s">
        <v>250</v>
      </c>
      <c r="F217" s="31" t="s">
        <v>419</v>
      </c>
      <c r="G217" s="27">
        <v>7</v>
      </c>
      <c r="H217" s="26">
        <v>944</v>
      </c>
      <c r="I217" s="26">
        <f t="shared" si="9"/>
        <v>6608</v>
      </c>
      <c r="V217" t="b">
        <f t="shared" si="10"/>
        <v>0</v>
      </c>
      <c r="X217" t="str">
        <f t="shared" si="11"/>
        <v>51.01.1249</v>
      </c>
    </row>
    <row r="218" spans="1:24" x14ac:dyDescent="0.3">
      <c r="A218" s="19">
        <v>217</v>
      </c>
      <c r="B218" s="19">
        <v>1</v>
      </c>
      <c r="C218" s="18" t="s">
        <v>195</v>
      </c>
      <c r="D218" s="18" t="s">
        <v>637</v>
      </c>
      <c r="E218" s="16" t="s">
        <v>251</v>
      </c>
      <c r="F218" s="19" t="s">
        <v>56</v>
      </c>
      <c r="G218" s="27">
        <v>10</v>
      </c>
      <c r="H218" s="26">
        <v>700</v>
      </c>
      <c r="I218" s="26">
        <f t="shared" si="9"/>
        <v>7000</v>
      </c>
      <c r="V218" t="b">
        <f t="shared" si="10"/>
        <v>0</v>
      </c>
      <c r="X218" t="str">
        <f t="shared" si="11"/>
        <v>51.01.1265</v>
      </c>
    </row>
    <row r="219" spans="1:24" ht="43.2" x14ac:dyDescent="0.3">
      <c r="A219" s="19">
        <v>218</v>
      </c>
      <c r="B219" s="19">
        <v>1</v>
      </c>
      <c r="C219" s="18" t="s">
        <v>195</v>
      </c>
      <c r="D219" s="18" t="s">
        <v>638</v>
      </c>
      <c r="E219" s="16" t="s">
        <v>252</v>
      </c>
      <c r="F219" s="31" t="s">
        <v>419</v>
      </c>
      <c r="G219" s="27">
        <v>1</v>
      </c>
      <c r="H219" s="26">
        <v>3488</v>
      </c>
      <c r="I219" s="26">
        <f t="shared" si="9"/>
        <v>3488</v>
      </c>
      <c r="V219" t="b">
        <f t="shared" si="10"/>
        <v>0</v>
      </c>
      <c r="X219" t="str">
        <f t="shared" si="11"/>
        <v>51.01.1275</v>
      </c>
    </row>
    <row r="220" spans="1:24" x14ac:dyDescent="0.3">
      <c r="A220" s="19">
        <v>219</v>
      </c>
      <c r="B220" s="19">
        <v>1</v>
      </c>
      <c r="C220" s="18" t="s">
        <v>195</v>
      </c>
      <c r="D220" s="18" t="s">
        <v>639</v>
      </c>
      <c r="E220" s="16" t="s">
        <v>253</v>
      </c>
      <c r="F220" s="31" t="s">
        <v>56</v>
      </c>
      <c r="G220" s="27">
        <v>297</v>
      </c>
      <c r="H220" s="26">
        <v>40</v>
      </c>
      <c r="I220" s="26">
        <f t="shared" si="9"/>
        <v>11880</v>
      </c>
      <c r="V220" t="b">
        <f t="shared" si="10"/>
        <v>0</v>
      </c>
      <c r="X220" t="str">
        <f t="shared" si="11"/>
        <v>51.01.1305</v>
      </c>
    </row>
    <row r="221" spans="1:24" ht="28.8" x14ac:dyDescent="0.3">
      <c r="A221" s="19">
        <v>220</v>
      </c>
      <c r="B221" s="19">
        <v>1</v>
      </c>
      <c r="C221" s="18" t="s">
        <v>195</v>
      </c>
      <c r="D221" s="18" t="s">
        <v>640</v>
      </c>
      <c r="E221" s="16" t="s">
        <v>254</v>
      </c>
      <c r="F221" s="19" t="s">
        <v>56</v>
      </c>
      <c r="G221" s="27">
        <v>3</v>
      </c>
      <c r="H221" s="26">
        <v>76</v>
      </c>
      <c r="I221" s="26">
        <f t="shared" si="9"/>
        <v>228</v>
      </c>
      <c r="V221" t="b">
        <f t="shared" si="10"/>
        <v>0</v>
      </c>
      <c r="X221" t="str">
        <f t="shared" si="11"/>
        <v>51.01.1310</v>
      </c>
    </row>
    <row r="222" spans="1:24" ht="57.6" x14ac:dyDescent="0.3">
      <c r="A222" s="19">
        <v>221</v>
      </c>
      <c r="B222" s="19">
        <v>1</v>
      </c>
      <c r="C222" s="18" t="s">
        <v>195</v>
      </c>
      <c r="D222" s="18" t="s">
        <v>641</v>
      </c>
      <c r="E222" s="16" t="s">
        <v>255</v>
      </c>
      <c r="F222" s="19" t="s">
        <v>56</v>
      </c>
      <c r="G222" s="27">
        <v>67</v>
      </c>
      <c r="H222" s="26">
        <v>87</v>
      </c>
      <c r="I222" s="26">
        <f t="shared" si="9"/>
        <v>5829</v>
      </c>
      <c r="V222" t="b">
        <f t="shared" si="10"/>
        <v>0</v>
      </c>
      <c r="X222" t="str">
        <f t="shared" si="11"/>
        <v>51.01.1345</v>
      </c>
    </row>
    <row r="223" spans="1:24" ht="57.6" x14ac:dyDescent="0.3">
      <c r="A223" s="19">
        <v>222</v>
      </c>
      <c r="B223" s="19">
        <v>1</v>
      </c>
      <c r="C223" s="18" t="s">
        <v>195</v>
      </c>
      <c r="D223" s="18" t="s">
        <v>642</v>
      </c>
      <c r="E223" s="16" t="s">
        <v>256</v>
      </c>
      <c r="F223" s="19" t="s">
        <v>56</v>
      </c>
      <c r="G223" s="27">
        <v>33</v>
      </c>
      <c r="H223" s="26">
        <v>128</v>
      </c>
      <c r="I223" s="26">
        <f t="shared" si="9"/>
        <v>4224</v>
      </c>
      <c r="V223" t="b">
        <f t="shared" si="10"/>
        <v>0</v>
      </c>
      <c r="X223" t="str">
        <f t="shared" si="11"/>
        <v>51.01.1350</v>
      </c>
    </row>
    <row r="224" spans="1:24" ht="72" x14ac:dyDescent="0.3">
      <c r="A224" s="19">
        <v>223</v>
      </c>
      <c r="B224" s="19">
        <v>1</v>
      </c>
      <c r="C224" s="18" t="s">
        <v>195</v>
      </c>
      <c r="D224" s="18" t="s">
        <v>643</v>
      </c>
      <c r="E224" s="16" t="s">
        <v>257</v>
      </c>
      <c r="F224" s="31" t="s">
        <v>56</v>
      </c>
      <c r="G224" s="27">
        <v>3</v>
      </c>
      <c r="H224" s="26">
        <v>7805</v>
      </c>
      <c r="I224" s="26">
        <f t="shared" si="9"/>
        <v>23415</v>
      </c>
      <c r="V224" t="b">
        <f t="shared" si="10"/>
        <v>0</v>
      </c>
      <c r="X224" t="str">
        <f t="shared" si="11"/>
        <v>51.01.1356</v>
      </c>
    </row>
    <row r="225" spans="1:24" x14ac:dyDescent="0.3">
      <c r="A225" s="19">
        <v>224</v>
      </c>
      <c r="B225" s="19">
        <v>1</v>
      </c>
      <c r="C225" s="18" t="s">
        <v>258</v>
      </c>
      <c r="D225" s="18" t="s">
        <v>644</v>
      </c>
      <c r="E225" s="16" t="s">
        <v>259</v>
      </c>
      <c r="F225" s="31" t="s">
        <v>30</v>
      </c>
      <c r="G225" s="27">
        <v>130000</v>
      </c>
      <c r="H225" s="26">
        <v>17</v>
      </c>
      <c r="I225" s="26">
        <f t="shared" si="9"/>
        <v>2210000</v>
      </c>
      <c r="V225" t="b">
        <f t="shared" si="10"/>
        <v>0</v>
      </c>
      <c r="X225" t="str">
        <f t="shared" si="11"/>
        <v>51.02.0020</v>
      </c>
    </row>
    <row r="226" spans="1:24" ht="28.8" x14ac:dyDescent="0.3">
      <c r="A226" s="19">
        <v>225</v>
      </c>
      <c r="B226" s="19">
        <v>1</v>
      </c>
      <c r="C226" s="18" t="s">
        <v>258</v>
      </c>
      <c r="D226" s="18" t="s">
        <v>645</v>
      </c>
      <c r="E226" s="16" t="s">
        <v>260</v>
      </c>
      <c r="F226" s="31" t="s">
        <v>30</v>
      </c>
      <c r="G226" s="27">
        <v>3800</v>
      </c>
      <c r="H226" s="26">
        <v>10.47</v>
      </c>
      <c r="I226" s="26">
        <f t="shared" si="9"/>
        <v>39786</v>
      </c>
      <c r="V226" t="b">
        <f t="shared" si="10"/>
        <v>0</v>
      </c>
      <c r="X226" t="str">
        <f t="shared" si="11"/>
        <v>51.02.0030</v>
      </c>
    </row>
    <row r="227" spans="1:24" x14ac:dyDescent="0.3">
      <c r="A227" s="19">
        <v>226</v>
      </c>
      <c r="B227" s="19">
        <v>1</v>
      </c>
      <c r="C227" s="18" t="s">
        <v>258</v>
      </c>
      <c r="D227" s="18" t="s">
        <v>646</v>
      </c>
      <c r="E227" s="16" t="s">
        <v>261</v>
      </c>
      <c r="F227" s="31" t="s">
        <v>28</v>
      </c>
      <c r="G227" s="27">
        <v>270000</v>
      </c>
      <c r="H227" s="26">
        <v>2.38</v>
      </c>
      <c r="I227" s="26">
        <f t="shared" si="9"/>
        <v>642600</v>
      </c>
      <c r="V227" t="b">
        <f t="shared" si="10"/>
        <v>0</v>
      </c>
      <c r="X227" t="str">
        <f t="shared" si="11"/>
        <v>51.02.0040</v>
      </c>
    </row>
    <row r="228" spans="1:24" x14ac:dyDescent="0.3">
      <c r="A228" s="19">
        <v>227</v>
      </c>
      <c r="B228" s="19">
        <v>1</v>
      </c>
      <c r="C228" s="18" t="s">
        <v>258</v>
      </c>
      <c r="D228" s="18" t="s">
        <v>647</v>
      </c>
      <c r="E228" s="16" t="s">
        <v>262</v>
      </c>
      <c r="F228" s="31" t="s">
        <v>30</v>
      </c>
      <c r="G228" s="27">
        <v>10000</v>
      </c>
      <c r="H228" s="26">
        <v>85</v>
      </c>
      <c r="I228" s="26">
        <f t="shared" si="9"/>
        <v>850000</v>
      </c>
      <c r="V228" t="b">
        <f t="shared" si="10"/>
        <v>0</v>
      </c>
      <c r="X228" t="str">
        <f t="shared" si="11"/>
        <v>51.02.0050</v>
      </c>
    </row>
    <row r="229" spans="1:24" x14ac:dyDescent="0.3">
      <c r="A229" s="19">
        <v>228</v>
      </c>
      <c r="B229" s="19">
        <v>1</v>
      </c>
      <c r="C229" s="18" t="s">
        <v>258</v>
      </c>
      <c r="D229" s="18" t="s">
        <v>648</v>
      </c>
      <c r="E229" s="16" t="s">
        <v>263</v>
      </c>
      <c r="F229" s="31" t="s">
        <v>30</v>
      </c>
      <c r="G229" s="27">
        <v>3000</v>
      </c>
      <c r="H229" s="26">
        <v>4.7</v>
      </c>
      <c r="I229" s="26">
        <f t="shared" si="9"/>
        <v>14100</v>
      </c>
      <c r="V229" t="b">
        <f t="shared" si="10"/>
        <v>0</v>
      </c>
      <c r="X229" t="str">
        <f t="shared" si="11"/>
        <v>51.02.0060</v>
      </c>
    </row>
    <row r="230" spans="1:24" ht="86.4" x14ac:dyDescent="0.3">
      <c r="A230" s="19">
        <v>229</v>
      </c>
      <c r="B230" s="19">
        <v>1</v>
      </c>
      <c r="C230" s="18" t="s">
        <v>258</v>
      </c>
      <c r="D230" s="18" t="s">
        <v>649</v>
      </c>
      <c r="E230" s="16" t="s">
        <v>264</v>
      </c>
      <c r="F230" s="31" t="s">
        <v>30</v>
      </c>
      <c r="G230" s="27">
        <v>500</v>
      </c>
      <c r="H230" s="26">
        <v>73</v>
      </c>
      <c r="I230" s="26">
        <f t="shared" si="9"/>
        <v>36500</v>
      </c>
      <c r="V230" t="b">
        <f t="shared" si="10"/>
        <v>0</v>
      </c>
      <c r="X230" t="str">
        <f t="shared" si="11"/>
        <v>51.02.0087</v>
      </c>
    </row>
    <row r="231" spans="1:24" ht="28.8" x14ac:dyDescent="0.3">
      <c r="A231" s="19">
        <v>230</v>
      </c>
      <c r="B231" s="19">
        <v>1</v>
      </c>
      <c r="C231" s="18" t="s">
        <v>258</v>
      </c>
      <c r="D231" s="18" t="s">
        <v>650</v>
      </c>
      <c r="E231" s="16" t="s">
        <v>265</v>
      </c>
      <c r="F231" s="31" t="s">
        <v>30</v>
      </c>
      <c r="G231" s="27">
        <v>200</v>
      </c>
      <c r="H231" s="26">
        <v>176</v>
      </c>
      <c r="I231" s="26">
        <f t="shared" si="9"/>
        <v>35200</v>
      </c>
      <c r="V231" t="b">
        <f t="shared" si="10"/>
        <v>0</v>
      </c>
      <c r="X231" t="str">
        <f t="shared" si="11"/>
        <v>51.02.0103</v>
      </c>
    </row>
    <row r="232" spans="1:24" x14ac:dyDescent="0.3">
      <c r="A232" s="19">
        <v>231</v>
      </c>
      <c r="B232" s="19">
        <v>1</v>
      </c>
      <c r="C232" s="18" t="s">
        <v>258</v>
      </c>
      <c r="D232" s="18" t="s">
        <v>651</v>
      </c>
      <c r="E232" s="16" t="s">
        <v>266</v>
      </c>
      <c r="F232" s="31" t="s">
        <v>30</v>
      </c>
      <c r="G232" s="27">
        <v>81453</v>
      </c>
      <c r="H232" s="26">
        <v>19</v>
      </c>
      <c r="I232" s="26">
        <f t="shared" si="9"/>
        <v>1547607</v>
      </c>
      <c r="V232" t="b">
        <f t="shared" si="10"/>
        <v>0</v>
      </c>
      <c r="X232" t="str">
        <f t="shared" si="11"/>
        <v>51.02.0110</v>
      </c>
    </row>
    <row r="233" spans="1:24" ht="28.8" x14ac:dyDescent="0.3">
      <c r="A233" s="19">
        <v>232</v>
      </c>
      <c r="B233" s="19">
        <v>1</v>
      </c>
      <c r="C233" s="18" t="s">
        <v>258</v>
      </c>
      <c r="D233" s="18" t="s">
        <v>652</v>
      </c>
      <c r="E233" s="16" t="s">
        <v>267</v>
      </c>
      <c r="F233" s="31" t="s">
        <v>28</v>
      </c>
      <c r="G233" s="27">
        <v>15780</v>
      </c>
      <c r="H233" s="26">
        <v>5.46</v>
      </c>
      <c r="I233" s="26">
        <f t="shared" si="9"/>
        <v>86158.8</v>
      </c>
      <c r="V233" t="b">
        <f t="shared" si="10"/>
        <v>0</v>
      </c>
      <c r="X233" t="str">
        <f t="shared" si="11"/>
        <v>51.02.0120</v>
      </c>
    </row>
    <row r="234" spans="1:24" ht="28.8" x14ac:dyDescent="0.3">
      <c r="A234" s="19">
        <v>233</v>
      </c>
      <c r="B234" s="19">
        <v>1</v>
      </c>
      <c r="C234" s="18" t="s">
        <v>258</v>
      </c>
      <c r="D234" s="18" t="s">
        <v>653</v>
      </c>
      <c r="E234" s="16" t="s">
        <v>268</v>
      </c>
      <c r="F234" s="31" t="s">
        <v>30</v>
      </c>
      <c r="G234" s="27">
        <v>62796</v>
      </c>
      <c r="H234" s="26">
        <v>60</v>
      </c>
      <c r="I234" s="26">
        <f t="shared" si="9"/>
        <v>3767760</v>
      </c>
      <c r="V234" t="b">
        <f t="shared" si="10"/>
        <v>0</v>
      </c>
      <c r="X234" t="str">
        <f t="shared" si="11"/>
        <v>51.02.0140</v>
      </c>
    </row>
    <row r="235" spans="1:24" ht="28.8" x14ac:dyDescent="0.3">
      <c r="A235" s="19">
        <v>234</v>
      </c>
      <c r="B235" s="19">
        <v>1</v>
      </c>
      <c r="C235" s="18" t="s">
        <v>258</v>
      </c>
      <c r="D235" s="18" t="s">
        <v>654</v>
      </c>
      <c r="E235" s="16" t="s">
        <v>269</v>
      </c>
      <c r="F235" s="19" t="s">
        <v>30</v>
      </c>
      <c r="G235" s="27">
        <v>12600</v>
      </c>
      <c r="H235" s="26">
        <v>50</v>
      </c>
      <c r="I235" s="26">
        <f t="shared" si="9"/>
        <v>630000</v>
      </c>
      <c r="V235" t="b">
        <f t="shared" si="10"/>
        <v>0</v>
      </c>
      <c r="X235" t="str">
        <f t="shared" si="11"/>
        <v>51.02.0150</v>
      </c>
    </row>
    <row r="236" spans="1:24" x14ac:dyDescent="0.3">
      <c r="A236" s="19">
        <v>235</v>
      </c>
      <c r="B236" s="19">
        <v>1</v>
      </c>
      <c r="C236" s="18" t="s">
        <v>258</v>
      </c>
      <c r="D236" s="18" t="s">
        <v>655</v>
      </c>
      <c r="E236" s="16" t="s">
        <v>270</v>
      </c>
      <c r="F236" s="31" t="s">
        <v>28</v>
      </c>
      <c r="G236" s="27">
        <v>10000</v>
      </c>
      <c r="H236" s="26">
        <v>2.82</v>
      </c>
      <c r="I236" s="26">
        <f t="shared" si="9"/>
        <v>28200</v>
      </c>
      <c r="V236" t="b">
        <f t="shared" si="10"/>
        <v>0</v>
      </c>
      <c r="X236" t="str">
        <f t="shared" si="11"/>
        <v>51.02.0260</v>
      </c>
    </row>
    <row r="237" spans="1:24" ht="28.8" x14ac:dyDescent="0.3">
      <c r="A237" s="19">
        <v>236</v>
      </c>
      <c r="B237" s="19">
        <v>1</v>
      </c>
      <c r="C237" s="18" t="s">
        <v>258</v>
      </c>
      <c r="D237" s="18" t="s">
        <v>656</v>
      </c>
      <c r="E237" s="16" t="s">
        <v>271</v>
      </c>
      <c r="F237" s="19" t="s">
        <v>30</v>
      </c>
      <c r="G237" s="27">
        <v>140000</v>
      </c>
      <c r="H237" s="26">
        <v>62</v>
      </c>
      <c r="I237" s="26">
        <f t="shared" si="9"/>
        <v>8680000</v>
      </c>
      <c r="V237" t="b">
        <f t="shared" si="10"/>
        <v>0</v>
      </c>
      <c r="X237" t="str">
        <f t="shared" si="11"/>
        <v>51.02.9929</v>
      </c>
    </row>
    <row r="238" spans="1:24" x14ac:dyDescent="0.3">
      <c r="A238" s="19">
        <v>237</v>
      </c>
      <c r="B238" s="19">
        <v>1</v>
      </c>
      <c r="C238" s="18" t="s">
        <v>258</v>
      </c>
      <c r="D238" s="18" t="s">
        <v>657</v>
      </c>
      <c r="E238" s="16" t="s">
        <v>272</v>
      </c>
      <c r="F238" s="19" t="s">
        <v>30</v>
      </c>
      <c r="G238" s="27">
        <v>148000</v>
      </c>
      <c r="H238" s="26">
        <v>128</v>
      </c>
      <c r="I238" s="26">
        <f t="shared" si="9"/>
        <v>18944000</v>
      </c>
      <c r="V238" t="b">
        <f t="shared" si="10"/>
        <v>0</v>
      </c>
      <c r="X238" t="str">
        <f t="shared" si="11"/>
        <v>51.03.0010</v>
      </c>
    </row>
    <row r="239" spans="1:24" x14ac:dyDescent="0.3">
      <c r="A239" s="19">
        <v>238</v>
      </c>
      <c r="B239" s="19">
        <v>1</v>
      </c>
      <c r="C239" s="18" t="s">
        <v>258</v>
      </c>
      <c r="D239" s="18" t="s">
        <v>658</v>
      </c>
      <c r="E239" s="16" t="s">
        <v>273</v>
      </c>
      <c r="F239" s="31" t="s">
        <v>30</v>
      </c>
      <c r="G239" s="27">
        <v>3000</v>
      </c>
      <c r="H239" s="26">
        <v>90</v>
      </c>
      <c r="I239" s="26">
        <f t="shared" si="9"/>
        <v>270000</v>
      </c>
      <c r="V239" t="b">
        <f t="shared" si="10"/>
        <v>0</v>
      </c>
      <c r="X239" t="str">
        <f t="shared" si="11"/>
        <v>51.03.0020</v>
      </c>
    </row>
    <row r="240" spans="1:24" x14ac:dyDescent="0.3">
      <c r="A240" s="19">
        <v>239</v>
      </c>
      <c r="B240" s="19">
        <v>1</v>
      </c>
      <c r="C240" s="18" t="s">
        <v>258</v>
      </c>
      <c r="D240" s="18" t="s">
        <v>659</v>
      </c>
      <c r="E240" s="16" t="s">
        <v>274</v>
      </c>
      <c r="F240" s="31" t="s">
        <v>30</v>
      </c>
      <c r="G240" s="27">
        <v>74000</v>
      </c>
      <c r="H240" s="26">
        <v>70</v>
      </c>
      <c r="I240" s="26">
        <f t="shared" si="9"/>
        <v>5180000</v>
      </c>
      <c r="V240" t="b">
        <f t="shared" si="10"/>
        <v>0</v>
      </c>
      <c r="X240" t="str">
        <f t="shared" si="11"/>
        <v>51.03.0030</v>
      </c>
    </row>
    <row r="241" spans="1:24" ht="72" x14ac:dyDescent="0.3">
      <c r="A241" s="19">
        <v>240</v>
      </c>
      <c r="B241" s="19">
        <v>1</v>
      </c>
      <c r="C241" s="18" t="s">
        <v>258</v>
      </c>
      <c r="D241" s="18" t="s">
        <v>660</v>
      </c>
      <c r="E241" s="16" t="s">
        <v>275</v>
      </c>
      <c r="F241" s="19" t="s">
        <v>28</v>
      </c>
      <c r="G241" s="27">
        <v>5000</v>
      </c>
      <c r="H241" s="26">
        <v>26</v>
      </c>
      <c r="I241" s="26">
        <f t="shared" si="9"/>
        <v>130000</v>
      </c>
      <c r="V241" t="b">
        <f t="shared" si="10"/>
        <v>0</v>
      </c>
      <c r="X241" t="str">
        <f t="shared" si="11"/>
        <v>51.03.0069</v>
      </c>
    </row>
    <row r="242" spans="1:24" ht="43.2" x14ac:dyDescent="0.3">
      <c r="A242" s="19">
        <v>241</v>
      </c>
      <c r="B242" s="19">
        <v>1</v>
      </c>
      <c r="C242" s="18" t="s">
        <v>276</v>
      </c>
      <c r="D242" s="18" t="s">
        <v>661</v>
      </c>
      <c r="E242" s="16" t="s">
        <v>277</v>
      </c>
      <c r="F242" s="19" t="s">
        <v>28</v>
      </c>
      <c r="G242" s="27">
        <v>17000</v>
      </c>
      <c r="H242" s="26">
        <v>49</v>
      </c>
      <c r="I242" s="26">
        <f t="shared" si="9"/>
        <v>833000</v>
      </c>
      <c r="V242" t="b">
        <f t="shared" si="10"/>
        <v>0</v>
      </c>
      <c r="X242" t="str">
        <f t="shared" si="11"/>
        <v>51.04.0020</v>
      </c>
    </row>
    <row r="243" spans="1:24" ht="43.2" x14ac:dyDescent="0.3">
      <c r="A243" s="19">
        <v>242</v>
      </c>
      <c r="B243" s="19">
        <v>1</v>
      </c>
      <c r="C243" s="18" t="s">
        <v>276</v>
      </c>
      <c r="D243" s="18" t="s">
        <v>662</v>
      </c>
      <c r="E243" s="16" t="s">
        <v>278</v>
      </c>
      <c r="F243" s="19" t="s">
        <v>28</v>
      </c>
      <c r="G243" s="27">
        <v>2500</v>
      </c>
      <c r="H243" s="26">
        <v>52.8</v>
      </c>
      <c r="I243" s="26">
        <f t="shared" si="9"/>
        <v>132000</v>
      </c>
      <c r="V243" t="b">
        <f t="shared" si="10"/>
        <v>0</v>
      </c>
      <c r="X243" t="str">
        <f t="shared" si="11"/>
        <v>51.04.0030</v>
      </c>
    </row>
    <row r="244" spans="1:24" ht="43.2" x14ac:dyDescent="0.3">
      <c r="A244" s="19">
        <v>243</v>
      </c>
      <c r="B244" s="19">
        <v>1</v>
      </c>
      <c r="C244" s="18" t="s">
        <v>276</v>
      </c>
      <c r="D244" s="18" t="s">
        <v>663</v>
      </c>
      <c r="E244" s="16" t="s">
        <v>279</v>
      </c>
      <c r="F244" s="19" t="s">
        <v>28</v>
      </c>
      <c r="G244" s="27">
        <v>13000</v>
      </c>
      <c r="H244" s="26">
        <v>60.48</v>
      </c>
      <c r="I244" s="26">
        <f t="shared" si="9"/>
        <v>786240</v>
      </c>
      <c r="V244" t="b">
        <f t="shared" si="10"/>
        <v>0</v>
      </c>
      <c r="X244" t="str">
        <f t="shared" si="11"/>
        <v>51.04.0040</v>
      </c>
    </row>
    <row r="245" spans="1:24" ht="43.2" x14ac:dyDescent="0.3">
      <c r="A245" s="19">
        <v>244</v>
      </c>
      <c r="B245" s="19">
        <v>1</v>
      </c>
      <c r="C245" s="18" t="s">
        <v>276</v>
      </c>
      <c r="D245" s="18" t="s">
        <v>664</v>
      </c>
      <c r="E245" s="16" t="s">
        <v>280</v>
      </c>
      <c r="F245" s="19" t="s">
        <v>28</v>
      </c>
      <c r="G245" s="27">
        <v>504000</v>
      </c>
      <c r="H245" s="26">
        <v>35</v>
      </c>
      <c r="I245" s="26">
        <f t="shared" si="9"/>
        <v>17640000</v>
      </c>
      <c r="V245" t="b">
        <f t="shared" si="10"/>
        <v>0</v>
      </c>
      <c r="X245" t="str">
        <f t="shared" si="11"/>
        <v>51.04.0080</v>
      </c>
    </row>
    <row r="246" spans="1:24" ht="43.2" x14ac:dyDescent="0.3">
      <c r="A246" s="19">
        <v>245</v>
      </c>
      <c r="B246" s="19">
        <v>1</v>
      </c>
      <c r="C246" s="18" t="s">
        <v>276</v>
      </c>
      <c r="D246" s="18" t="s">
        <v>665</v>
      </c>
      <c r="E246" s="16" t="s">
        <v>281</v>
      </c>
      <c r="F246" s="19" t="s">
        <v>28</v>
      </c>
      <c r="G246" s="27">
        <v>112000</v>
      </c>
      <c r="H246" s="26">
        <v>44</v>
      </c>
      <c r="I246" s="26">
        <f t="shared" si="9"/>
        <v>4928000</v>
      </c>
      <c r="V246" t="b">
        <f t="shared" si="10"/>
        <v>0</v>
      </c>
      <c r="X246" t="str">
        <f t="shared" si="11"/>
        <v>51.04.0120</v>
      </c>
    </row>
    <row r="247" spans="1:24" ht="43.2" x14ac:dyDescent="0.3">
      <c r="A247" s="19">
        <v>246</v>
      </c>
      <c r="B247" s="19">
        <v>1</v>
      </c>
      <c r="C247" s="18" t="s">
        <v>276</v>
      </c>
      <c r="D247" s="18" t="s">
        <v>666</v>
      </c>
      <c r="E247" s="16" t="s">
        <v>282</v>
      </c>
      <c r="F247" s="19" t="s">
        <v>28</v>
      </c>
      <c r="G247" s="27">
        <v>140000</v>
      </c>
      <c r="H247" s="26">
        <v>49</v>
      </c>
      <c r="I247" s="26">
        <f t="shared" si="9"/>
        <v>6860000</v>
      </c>
      <c r="V247" t="b">
        <f t="shared" si="10"/>
        <v>0</v>
      </c>
      <c r="X247" t="str">
        <f t="shared" si="11"/>
        <v>51.04.0160</v>
      </c>
    </row>
    <row r="248" spans="1:24" ht="43.2" x14ac:dyDescent="0.3">
      <c r="A248" s="19">
        <v>247</v>
      </c>
      <c r="B248" s="19">
        <v>1</v>
      </c>
      <c r="C248" s="18" t="s">
        <v>276</v>
      </c>
      <c r="D248" s="18" t="s">
        <v>667</v>
      </c>
      <c r="E248" s="16" t="s">
        <v>283</v>
      </c>
      <c r="F248" s="19" t="s">
        <v>26</v>
      </c>
      <c r="G248" s="27">
        <v>5000</v>
      </c>
      <c r="H248" s="26">
        <v>302</v>
      </c>
      <c r="I248" s="26">
        <f t="shared" si="9"/>
        <v>1510000</v>
      </c>
      <c r="V248" t="b">
        <f t="shared" si="10"/>
        <v>0</v>
      </c>
      <c r="X248" t="str">
        <f t="shared" si="11"/>
        <v>51.04.0200</v>
      </c>
    </row>
    <row r="249" spans="1:24" ht="43.2" x14ac:dyDescent="0.3">
      <c r="A249" s="19">
        <v>248</v>
      </c>
      <c r="B249" s="19">
        <v>1</v>
      </c>
      <c r="C249" s="18" t="s">
        <v>276</v>
      </c>
      <c r="D249" s="18" t="s">
        <v>668</v>
      </c>
      <c r="E249" s="16" t="s">
        <v>284</v>
      </c>
      <c r="F249" s="19" t="s">
        <v>28</v>
      </c>
      <c r="G249" s="27">
        <v>352000</v>
      </c>
      <c r="H249" s="26">
        <v>40</v>
      </c>
      <c r="I249" s="26">
        <f t="shared" si="9"/>
        <v>14080000</v>
      </c>
      <c r="V249" t="b">
        <f t="shared" si="10"/>
        <v>0</v>
      </c>
      <c r="X249" t="str">
        <f t="shared" si="11"/>
        <v>51.04.0350</v>
      </c>
    </row>
    <row r="250" spans="1:24" ht="43.2" x14ac:dyDescent="0.3">
      <c r="A250" s="19">
        <v>249</v>
      </c>
      <c r="B250" s="19">
        <v>1</v>
      </c>
      <c r="C250" s="18" t="s">
        <v>276</v>
      </c>
      <c r="D250" s="18" t="s">
        <v>669</v>
      </c>
      <c r="E250" s="16" t="s">
        <v>285</v>
      </c>
      <c r="F250" s="19" t="s">
        <v>26</v>
      </c>
      <c r="G250" s="27">
        <v>10000</v>
      </c>
      <c r="H250" s="26">
        <v>326.39999999999998</v>
      </c>
      <c r="I250" s="26">
        <f t="shared" si="9"/>
        <v>3264000</v>
      </c>
      <c r="V250" t="b">
        <f t="shared" si="10"/>
        <v>0</v>
      </c>
      <c r="X250" t="str">
        <f t="shared" si="11"/>
        <v>51.04.0380</v>
      </c>
    </row>
    <row r="251" spans="1:24" ht="43.2" x14ac:dyDescent="0.3">
      <c r="A251" s="19">
        <v>250</v>
      </c>
      <c r="B251" s="19">
        <v>1</v>
      </c>
      <c r="C251" s="18" t="s">
        <v>276</v>
      </c>
      <c r="D251" s="18" t="s">
        <v>670</v>
      </c>
      <c r="E251" s="16" t="s">
        <v>286</v>
      </c>
      <c r="F251" s="19" t="s">
        <v>28</v>
      </c>
      <c r="G251" s="27">
        <v>3100</v>
      </c>
      <c r="H251" s="26">
        <v>31.68</v>
      </c>
      <c r="I251" s="26">
        <f t="shared" si="9"/>
        <v>98208</v>
      </c>
      <c r="V251" t="b">
        <f t="shared" si="10"/>
        <v>0</v>
      </c>
      <c r="X251" t="str">
        <f t="shared" si="11"/>
        <v>51.04.0490</v>
      </c>
    </row>
    <row r="252" spans="1:24" ht="43.2" x14ac:dyDescent="0.3">
      <c r="A252" s="19">
        <v>251</v>
      </c>
      <c r="B252" s="19">
        <v>1</v>
      </c>
      <c r="C252" s="18" t="s">
        <v>276</v>
      </c>
      <c r="D252" s="18" t="s">
        <v>671</v>
      </c>
      <c r="E252" s="16" t="s">
        <v>287</v>
      </c>
      <c r="F252" s="19" t="s">
        <v>28</v>
      </c>
      <c r="G252" s="27">
        <v>333000</v>
      </c>
      <c r="H252" s="26">
        <v>40</v>
      </c>
      <c r="I252" s="26">
        <f t="shared" si="9"/>
        <v>13320000</v>
      </c>
      <c r="V252" t="b">
        <f t="shared" si="10"/>
        <v>0</v>
      </c>
      <c r="X252" t="str">
        <f t="shared" si="11"/>
        <v>51.04.1210</v>
      </c>
    </row>
    <row r="253" spans="1:24" ht="43.2" x14ac:dyDescent="0.3">
      <c r="A253" s="19">
        <v>252</v>
      </c>
      <c r="B253" s="19">
        <v>1</v>
      </c>
      <c r="C253" s="18" t="s">
        <v>276</v>
      </c>
      <c r="D253" s="18" t="s">
        <v>672</v>
      </c>
      <c r="E253" s="16" t="s">
        <v>288</v>
      </c>
      <c r="F253" s="19" t="s">
        <v>28</v>
      </c>
      <c r="G253" s="27">
        <v>20000</v>
      </c>
      <c r="H253" s="26">
        <v>45.12</v>
      </c>
      <c r="I253" s="26">
        <f t="shared" si="9"/>
        <v>902400</v>
      </c>
      <c r="V253" t="b">
        <f t="shared" si="10"/>
        <v>0</v>
      </c>
      <c r="X253" t="str">
        <f t="shared" si="11"/>
        <v>51.04.1215</v>
      </c>
    </row>
    <row r="254" spans="1:24" ht="28.8" x14ac:dyDescent="0.3">
      <c r="A254" s="19">
        <v>253</v>
      </c>
      <c r="B254" s="19">
        <v>1</v>
      </c>
      <c r="C254" s="18" t="s">
        <v>276</v>
      </c>
      <c r="D254" s="18" t="s">
        <v>673</v>
      </c>
      <c r="E254" s="16" t="s">
        <v>289</v>
      </c>
      <c r="F254" s="19" t="s">
        <v>28</v>
      </c>
      <c r="G254" s="27">
        <v>1296600</v>
      </c>
      <c r="H254" s="26">
        <v>0.96</v>
      </c>
      <c r="I254" s="26">
        <f t="shared" si="9"/>
        <v>1244736</v>
      </c>
      <c r="V254" t="b">
        <f t="shared" si="10"/>
        <v>0</v>
      </c>
      <c r="X254" t="str">
        <f t="shared" si="11"/>
        <v>51.04.1470</v>
      </c>
    </row>
    <row r="255" spans="1:24" ht="28.8" x14ac:dyDescent="0.3">
      <c r="A255" s="19">
        <v>254</v>
      </c>
      <c r="B255" s="19">
        <v>1</v>
      </c>
      <c r="C255" s="18" t="s">
        <v>276</v>
      </c>
      <c r="D255" s="18" t="s">
        <v>674</v>
      </c>
      <c r="E255" s="16" t="s">
        <v>290</v>
      </c>
      <c r="F255" s="19" t="s">
        <v>28</v>
      </c>
      <c r="G255" s="27">
        <v>200000</v>
      </c>
      <c r="H255" s="26">
        <v>1.25</v>
      </c>
      <c r="I255" s="26">
        <f t="shared" si="9"/>
        <v>250000</v>
      </c>
      <c r="V255" t="b">
        <f t="shared" si="10"/>
        <v>0</v>
      </c>
      <c r="X255" t="str">
        <f t="shared" si="11"/>
        <v>51.04.1480</v>
      </c>
    </row>
    <row r="256" spans="1:24" ht="28.8" x14ac:dyDescent="0.3">
      <c r="A256" s="19">
        <v>255</v>
      </c>
      <c r="B256" s="19">
        <v>1</v>
      </c>
      <c r="C256" s="18" t="s">
        <v>276</v>
      </c>
      <c r="D256" s="18" t="s">
        <v>675</v>
      </c>
      <c r="E256" s="16" t="s">
        <v>291</v>
      </c>
      <c r="F256" s="19" t="s">
        <v>28</v>
      </c>
      <c r="G256" s="27">
        <v>15000</v>
      </c>
      <c r="H256" s="26">
        <v>1.82</v>
      </c>
      <c r="I256" s="26">
        <f t="shared" si="9"/>
        <v>27300</v>
      </c>
      <c r="V256" t="b">
        <f t="shared" si="10"/>
        <v>0</v>
      </c>
      <c r="X256" t="str">
        <f t="shared" si="11"/>
        <v>51.04.1482</v>
      </c>
    </row>
    <row r="257" spans="1:24" ht="43.2" x14ac:dyDescent="0.3">
      <c r="A257" s="19">
        <v>256</v>
      </c>
      <c r="B257" s="19">
        <v>1</v>
      </c>
      <c r="C257" s="18" t="s">
        <v>276</v>
      </c>
      <c r="D257" s="18" t="s">
        <v>676</v>
      </c>
      <c r="E257" s="16" t="s">
        <v>292</v>
      </c>
      <c r="F257" s="19" t="s">
        <v>59</v>
      </c>
      <c r="G257" s="27">
        <v>30000</v>
      </c>
      <c r="H257" s="26">
        <v>10.46</v>
      </c>
      <c r="I257" s="26">
        <f t="shared" si="9"/>
        <v>313800</v>
      </c>
      <c r="V257" t="b">
        <f t="shared" si="10"/>
        <v>0</v>
      </c>
      <c r="X257" t="str">
        <f t="shared" si="11"/>
        <v>51.04.1490</v>
      </c>
    </row>
    <row r="258" spans="1:24" x14ac:dyDescent="0.3">
      <c r="A258" s="19">
        <v>257</v>
      </c>
      <c r="B258" s="19">
        <v>1</v>
      </c>
      <c r="C258" s="18" t="s">
        <v>293</v>
      </c>
      <c r="D258" s="18" t="s">
        <v>677</v>
      </c>
      <c r="E258" s="16" t="s">
        <v>294</v>
      </c>
      <c r="F258" s="19" t="s">
        <v>28</v>
      </c>
      <c r="G258" s="27">
        <v>1000</v>
      </c>
      <c r="H258" s="26">
        <v>3</v>
      </c>
      <c r="I258" s="26">
        <f t="shared" si="9"/>
        <v>3000</v>
      </c>
      <c r="V258" t="b">
        <f t="shared" si="10"/>
        <v>0</v>
      </c>
      <c r="X258" t="str">
        <f t="shared" si="11"/>
        <v>51.04.1520</v>
      </c>
    </row>
    <row r="259" spans="1:24" ht="28.8" x14ac:dyDescent="0.3">
      <c r="A259" s="19">
        <v>258</v>
      </c>
      <c r="B259" s="19">
        <v>1</v>
      </c>
      <c r="C259" s="18" t="s">
        <v>293</v>
      </c>
      <c r="D259" s="18" t="s">
        <v>678</v>
      </c>
      <c r="E259" s="16" t="s">
        <v>295</v>
      </c>
      <c r="F259" s="31" t="s">
        <v>28</v>
      </c>
      <c r="G259" s="27">
        <v>18000</v>
      </c>
      <c r="H259" s="26">
        <v>4.9000000000000004</v>
      </c>
      <c r="I259" s="26">
        <f t="shared" ref="I259:I322" si="12">H259*G259</f>
        <v>88200</v>
      </c>
      <c r="V259" t="b">
        <f t="shared" ref="V259:V322" si="13">COUNTIF($D:$D, D259) &gt; 1</f>
        <v>0</v>
      </c>
      <c r="X259" t="str">
        <f t="shared" ref="X259:X322" si="14">MID(D259,3,LEN(D259)-2)</f>
        <v>51.04.1530</v>
      </c>
    </row>
    <row r="260" spans="1:24" ht="28.8" x14ac:dyDescent="0.3">
      <c r="A260" s="19">
        <v>259</v>
      </c>
      <c r="B260" s="19">
        <v>1</v>
      </c>
      <c r="C260" s="18" t="s">
        <v>293</v>
      </c>
      <c r="D260" s="18" t="s">
        <v>679</v>
      </c>
      <c r="E260" s="16" t="s">
        <v>296</v>
      </c>
      <c r="F260" s="19" t="s">
        <v>28</v>
      </c>
      <c r="G260" s="27">
        <v>40000</v>
      </c>
      <c r="H260" s="26">
        <v>5.76</v>
      </c>
      <c r="I260" s="26">
        <f t="shared" si="12"/>
        <v>230400</v>
      </c>
      <c r="V260" t="b">
        <f t="shared" si="13"/>
        <v>0</v>
      </c>
      <c r="X260" t="str">
        <f t="shared" si="14"/>
        <v>51.04.1539</v>
      </c>
    </row>
    <row r="261" spans="1:24" ht="28.8" x14ac:dyDescent="0.3">
      <c r="A261" s="19">
        <v>260</v>
      </c>
      <c r="B261" s="19">
        <v>1</v>
      </c>
      <c r="C261" s="18" t="s">
        <v>293</v>
      </c>
      <c r="D261" s="18" t="s">
        <v>680</v>
      </c>
      <c r="E261" s="16" t="s">
        <v>297</v>
      </c>
      <c r="F261" s="19" t="s">
        <v>28</v>
      </c>
      <c r="G261" s="27">
        <v>8000</v>
      </c>
      <c r="H261" s="26">
        <v>6.72</v>
      </c>
      <c r="I261" s="26">
        <f t="shared" si="12"/>
        <v>53760</v>
      </c>
      <c r="V261" t="b">
        <f t="shared" si="13"/>
        <v>0</v>
      </c>
      <c r="X261" t="str">
        <f t="shared" si="14"/>
        <v>51.04.1543</v>
      </c>
    </row>
    <row r="262" spans="1:24" ht="28.8" x14ac:dyDescent="0.3">
      <c r="A262" s="19">
        <v>261</v>
      </c>
      <c r="B262" s="19">
        <v>1</v>
      </c>
      <c r="C262" s="18" t="s">
        <v>293</v>
      </c>
      <c r="D262" s="18" t="s">
        <v>681</v>
      </c>
      <c r="E262" s="16" t="s">
        <v>298</v>
      </c>
      <c r="F262" s="19" t="s">
        <v>28</v>
      </c>
      <c r="G262" s="27">
        <v>10000</v>
      </c>
      <c r="H262" s="26">
        <v>7.39</v>
      </c>
      <c r="I262" s="26">
        <f t="shared" si="12"/>
        <v>73900</v>
      </c>
      <c r="V262" t="b">
        <f t="shared" si="13"/>
        <v>0</v>
      </c>
      <c r="X262" t="str">
        <f t="shared" si="14"/>
        <v>51.04.1544</v>
      </c>
    </row>
    <row r="263" spans="1:24" ht="28.8" x14ac:dyDescent="0.3">
      <c r="A263" s="19">
        <v>262</v>
      </c>
      <c r="B263" s="19">
        <v>1</v>
      </c>
      <c r="C263" s="18" t="s">
        <v>293</v>
      </c>
      <c r="D263" s="18" t="s">
        <v>682</v>
      </c>
      <c r="E263" s="16" t="s">
        <v>299</v>
      </c>
      <c r="F263" s="19" t="s">
        <v>28</v>
      </c>
      <c r="G263" s="27">
        <v>8000</v>
      </c>
      <c r="H263" s="26">
        <v>8.93</v>
      </c>
      <c r="I263" s="26">
        <f t="shared" si="12"/>
        <v>71440</v>
      </c>
      <c r="V263" t="b">
        <f t="shared" si="13"/>
        <v>0</v>
      </c>
      <c r="X263" t="str">
        <f t="shared" si="14"/>
        <v>51.04.1554</v>
      </c>
    </row>
    <row r="264" spans="1:24" ht="28.8" x14ac:dyDescent="0.3">
      <c r="A264" s="19">
        <v>263</v>
      </c>
      <c r="B264" s="19">
        <v>1</v>
      </c>
      <c r="C264" s="18" t="s">
        <v>293</v>
      </c>
      <c r="D264" s="18" t="s">
        <v>683</v>
      </c>
      <c r="E264" s="16" t="s">
        <v>300</v>
      </c>
      <c r="F264" s="19" t="s">
        <v>28</v>
      </c>
      <c r="G264" s="27">
        <v>50478</v>
      </c>
      <c r="H264" s="26">
        <v>8</v>
      </c>
      <c r="I264" s="26">
        <f t="shared" si="12"/>
        <v>403824</v>
      </c>
      <c r="V264" t="b">
        <f t="shared" si="13"/>
        <v>0</v>
      </c>
      <c r="X264" t="str">
        <f t="shared" si="14"/>
        <v>51.04.1560</v>
      </c>
    </row>
    <row r="265" spans="1:24" ht="28.8" x14ac:dyDescent="0.3">
      <c r="A265" s="19">
        <v>264</v>
      </c>
      <c r="B265" s="19">
        <v>1</v>
      </c>
      <c r="C265" s="18" t="s">
        <v>293</v>
      </c>
      <c r="D265" s="18" t="s">
        <v>684</v>
      </c>
      <c r="E265" s="16" t="s">
        <v>301</v>
      </c>
      <c r="F265" s="19" t="s">
        <v>28</v>
      </c>
      <c r="G265" s="27">
        <v>31044</v>
      </c>
      <c r="H265" s="26">
        <v>10</v>
      </c>
      <c r="I265" s="26">
        <f t="shared" si="12"/>
        <v>310440</v>
      </c>
      <c r="V265" t="b">
        <f t="shared" si="13"/>
        <v>0</v>
      </c>
      <c r="X265" t="str">
        <f t="shared" si="14"/>
        <v>51.04.1563</v>
      </c>
    </row>
    <row r="266" spans="1:24" ht="28.8" x14ac:dyDescent="0.3">
      <c r="A266" s="19">
        <v>265</v>
      </c>
      <c r="B266" s="19">
        <v>1</v>
      </c>
      <c r="C266" s="18" t="s">
        <v>293</v>
      </c>
      <c r="D266" s="18" t="s">
        <v>685</v>
      </c>
      <c r="E266" s="16" t="s">
        <v>302</v>
      </c>
      <c r="F266" s="19" t="s">
        <v>28</v>
      </c>
      <c r="G266" s="27">
        <v>54212</v>
      </c>
      <c r="H266" s="26">
        <v>16.420000000000002</v>
      </c>
      <c r="I266" s="26">
        <f t="shared" si="12"/>
        <v>890161.04</v>
      </c>
      <c r="V266" t="b">
        <f t="shared" si="13"/>
        <v>0</v>
      </c>
      <c r="X266" t="str">
        <f t="shared" si="14"/>
        <v>51.04.1564</v>
      </c>
    </row>
    <row r="267" spans="1:24" x14ac:dyDescent="0.3">
      <c r="A267" s="19">
        <v>266</v>
      </c>
      <c r="B267" s="19">
        <v>1</v>
      </c>
      <c r="C267" s="18" t="s">
        <v>293</v>
      </c>
      <c r="D267" s="18" t="s">
        <v>686</v>
      </c>
      <c r="E267" s="16" t="s">
        <v>303</v>
      </c>
      <c r="F267" s="19" t="s">
        <v>28</v>
      </c>
      <c r="G267" s="27">
        <v>2000</v>
      </c>
      <c r="H267" s="26">
        <v>3.46</v>
      </c>
      <c r="I267" s="26">
        <f t="shared" si="12"/>
        <v>6920</v>
      </c>
      <c r="V267" t="b">
        <f t="shared" si="13"/>
        <v>0</v>
      </c>
      <c r="X267" t="str">
        <f t="shared" si="14"/>
        <v>51.04.1570</v>
      </c>
    </row>
    <row r="268" spans="1:24" ht="28.8" x14ac:dyDescent="0.3">
      <c r="A268" s="19">
        <v>267</v>
      </c>
      <c r="B268" s="19">
        <v>1</v>
      </c>
      <c r="C268" s="18" t="s">
        <v>293</v>
      </c>
      <c r="D268" s="18" t="s">
        <v>687</v>
      </c>
      <c r="E268" s="16" t="s">
        <v>304</v>
      </c>
      <c r="F268" s="19" t="s">
        <v>30</v>
      </c>
      <c r="G268" s="27">
        <v>15000</v>
      </c>
      <c r="H268" s="26">
        <v>-8.36</v>
      </c>
      <c r="I268" s="26">
        <f t="shared" si="12"/>
        <v>-125399.99999999999</v>
      </c>
      <c r="V268" t="b">
        <f t="shared" si="13"/>
        <v>0</v>
      </c>
      <c r="X268" t="str">
        <f t="shared" si="14"/>
        <v>51.04.1580</v>
      </c>
    </row>
    <row r="269" spans="1:24" ht="57.6" x14ac:dyDescent="0.3">
      <c r="A269" s="19">
        <v>268</v>
      </c>
      <c r="B269" s="19">
        <v>1</v>
      </c>
      <c r="C269" s="18" t="s">
        <v>23</v>
      </c>
      <c r="D269" s="18" t="s">
        <v>688</v>
      </c>
      <c r="E269" s="16" t="s">
        <v>305</v>
      </c>
      <c r="F269" s="19" t="s">
        <v>59</v>
      </c>
      <c r="G269" s="27">
        <v>380</v>
      </c>
      <c r="H269" s="26">
        <v>383</v>
      </c>
      <c r="I269" s="26">
        <f t="shared" si="12"/>
        <v>145540</v>
      </c>
      <c r="V269" t="b">
        <f t="shared" si="13"/>
        <v>0</v>
      </c>
      <c r="X269" t="str">
        <f t="shared" si="14"/>
        <v>51.05.0715</v>
      </c>
    </row>
    <row r="270" spans="1:24" ht="57.6" x14ac:dyDescent="0.3">
      <c r="A270" s="19">
        <v>269</v>
      </c>
      <c r="B270" s="19">
        <v>1</v>
      </c>
      <c r="C270" s="18" t="s">
        <v>23</v>
      </c>
      <c r="D270" s="18" t="s">
        <v>689</v>
      </c>
      <c r="E270" s="16" t="s">
        <v>306</v>
      </c>
      <c r="F270" s="19" t="s">
        <v>59</v>
      </c>
      <c r="G270" s="27">
        <v>1680</v>
      </c>
      <c r="H270" s="26">
        <v>510.4</v>
      </c>
      <c r="I270" s="26">
        <f t="shared" si="12"/>
        <v>857472</v>
      </c>
      <c r="V270" t="b">
        <f t="shared" si="13"/>
        <v>0</v>
      </c>
      <c r="X270" t="str">
        <f t="shared" si="14"/>
        <v>51.05.0719</v>
      </c>
    </row>
    <row r="271" spans="1:24" ht="57.6" x14ac:dyDescent="0.3">
      <c r="A271" s="19">
        <v>270</v>
      </c>
      <c r="B271" s="19">
        <v>1</v>
      </c>
      <c r="C271" s="18" t="s">
        <v>23</v>
      </c>
      <c r="D271" s="18" t="s">
        <v>690</v>
      </c>
      <c r="E271" s="16" t="s">
        <v>307</v>
      </c>
      <c r="F271" s="19" t="s">
        <v>59</v>
      </c>
      <c r="G271" s="27">
        <v>640</v>
      </c>
      <c r="H271" s="26">
        <v>642</v>
      </c>
      <c r="I271" s="26">
        <f t="shared" si="12"/>
        <v>410880</v>
      </c>
      <c r="V271" t="b">
        <f t="shared" si="13"/>
        <v>0</v>
      </c>
      <c r="X271" t="str">
        <f t="shared" si="14"/>
        <v>51.05.0735</v>
      </c>
    </row>
    <row r="272" spans="1:24" ht="57.6" x14ac:dyDescent="0.3">
      <c r="A272" s="19">
        <v>271</v>
      </c>
      <c r="B272" s="19">
        <v>1</v>
      </c>
      <c r="C272" s="18" t="s">
        <v>23</v>
      </c>
      <c r="D272" s="18" t="s">
        <v>691</v>
      </c>
      <c r="E272" s="16" t="s">
        <v>308</v>
      </c>
      <c r="F272" s="19" t="s">
        <v>59</v>
      </c>
      <c r="G272" s="27">
        <v>315</v>
      </c>
      <c r="H272" s="26">
        <v>1091</v>
      </c>
      <c r="I272" s="26">
        <f t="shared" si="12"/>
        <v>343665</v>
      </c>
      <c r="V272" t="b">
        <f t="shared" si="13"/>
        <v>0</v>
      </c>
      <c r="X272" t="str">
        <f t="shared" si="14"/>
        <v>51.05.0757</v>
      </c>
    </row>
    <row r="273" spans="1:24" ht="57.6" x14ac:dyDescent="0.3">
      <c r="A273" s="19">
        <v>272</v>
      </c>
      <c r="B273" s="19">
        <v>1</v>
      </c>
      <c r="C273" s="18" t="s">
        <v>23</v>
      </c>
      <c r="D273" s="18" t="s">
        <v>692</v>
      </c>
      <c r="E273" s="16" t="s">
        <v>309</v>
      </c>
      <c r="F273" s="19" t="s">
        <v>59</v>
      </c>
      <c r="G273" s="27">
        <v>457</v>
      </c>
      <c r="H273" s="26">
        <v>1540</v>
      </c>
      <c r="I273" s="26">
        <f t="shared" si="12"/>
        <v>703780</v>
      </c>
      <c r="V273" t="b">
        <f t="shared" si="13"/>
        <v>0</v>
      </c>
      <c r="X273" t="str">
        <f t="shared" si="14"/>
        <v>51.05.0779</v>
      </c>
    </row>
    <row r="274" spans="1:24" ht="57.6" x14ac:dyDescent="0.3">
      <c r="A274" s="19">
        <v>273</v>
      </c>
      <c r="B274" s="19">
        <v>1</v>
      </c>
      <c r="C274" s="18" t="s">
        <v>23</v>
      </c>
      <c r="D274" s="18" t="s">
        <v>693</v>
      </c>
      <c r="E274" s="16" t="s">
        <v>310</v>
      </c>
      <c r="F274" s="19" t="s">
        <v>59</v>
      </c>
      <c r="G274" s="27">
        <v>110</v>
      </c>
      <c r="H274" s="26">
        <v>2482</v>
      </c>
      <c r="I274" s="26">
        <f t="shared" si="12"/>
        <v>273020</v>
      </c>
      <c r="V274" t="b">
        <f t="shared" si="13"/>
        <v>0</v>
      </c>
      <c r="X274" t="str">
        <f t="shared" si="14"/>
        <v>51.05.0817</v>
      </c>
    </row>
    <row r="275" spans="1:24" ht="57.6" x14ac:dyDescent="0.3">
      <c r="A275" s="19">
        <v>274</v>
      </c>
      <c r="B275" s="19">
        <v>1</v>
      </c>
      <c r="C275" s="18" t="s">
        <v>23</v>
      </c>
      <c r="D275" s="18" t="s">
        <v>694</v>
      </c>
      <c r="E275" s="16" t="s">
        <v>311</v>
      </c>
      <c r="F275" s="19" t="s">
        <v>30</v>
      </c>
      <c r="G275" s="27">
        <v>4500</v>
      </c>
      <c r="H275" s="26">
        <v>280</v>
      </c>
      <c r="I275" s="26">
        <f t="shared" si="12"/>
        <v>1260000</v>
      </c>
      <c r="V275" t="b">
        <f t="shared" si="13"/>
        <v>0</v>
      </c>
      <c r="X275" t="str">
        <f t="shared" si="14"/>
        <v>51.05.0909</v>
      </c>
    </row>
    <row r="276" spans="1:24" ht="43.2" x14ac:dyDescent="0.3">
      <c r="A276" s="19">
        <v>275</v>
      </c>
      <c r="B276" s="19">
        <v>1</v>
      </c>
      <c r="C276" s="18" t="s">
        <v>23</v>
      </c>
      <c r="D276" s="18" t="s">
        <v>695</v>
      </c>
      <c r="E276" s="16" t="s">
        <v>312</v>
      </c>
      <c r="F276" s="19" t="s">
        <v>313</v>
      </c>
      <c r="G276" s="27">
        <v>14</v>
      </c>
      <c r="H276" s="26">
        <v>757</v>
      </c>
      <c r="I276" s="26">
        <f t="shared" si="12"/>
        <v>10598</v>
      </c>
      <c r="V276" t="b">
        <f t="shared" si="13"/>
        <v>0</v>
      </c>
      <c r="X276" t="str">
        <f t="shared" si="14"/>
        <v>51.05.1069</v>
      </c>
    </row>
    <row r="277" spans="1:24" ht="57.6" x14ac:dyDescent="0.3">
      <c r="A277" s="19">
        <v>276</v>
      </c>
      <c r="B277" s="19">
        <v>1</v>
      </c>
      <c r="C277" s="18" t="s">
        <v>23</v>
      </c>
      <c r="D277" s="18" t="s">
        <v>696</v>
      </c>
      <c r="E277" s="16" t="s">
        <v>314</v>
      </c>
      <c r="F277" s="19" t="s">
        <v>56</v>
      </c>
      <c r="G277" s="27">
        <v>3</v>
      </c>
      <c r="H277" s="26">
        <v>6670</v>
      </c>
      <c r="I277" s="26">
        <f t="shared" si="12"/>
        <v>20010</v>
      </c>
      <c r="V277" t="b">
        <f t="shared" si="13"/>
        <v>0</v>
      </c>
      <c r="X277" t="str">
        <f t="shared" si="14"/>
        <v>51.05.1273</v>
      </c>
    </row>
    <row r="278" spans="1:24" ht="57.6" x14ac:dyDescent="0.3">
      <c r="A278" s="19">
        <v>277</v>
      </c>
      <c r="B278" s="19">
        <v>1</v>
      </c>
      <c r="C278" s="18" t="s">
        <v>23</v>
      </c>
      <c r="D278" s="18" t="s">
        <v>697</v>
      </c>
      <c r="E278" s="16" t="s">
        <v>315</v>
      </c>
      <c r="F278" s="19" t="s">
        <v>56</v>
      </c>
      <c r="G278" s="27">
        <v>1</v>
      </c>
      <c r="H278" s="26">
        <v>12901</v>
      </c>
      <c r="I278" s="26">
        <f t="shared" si="12"/>
        <v>12901</v>
      </c>
      <c r="V278" t="b">
        <f t="shared" si="13"/>
        <v>0</v>
      </c>
      <c r="X278" t="str">
        <f t="shared" si="14"/>
        <v>51.05.1317</v>
      </c>
    </row>
    <row r="279" spans="1:24" ht="57.6" x14ac:dyDescent="0.3">
      <c r="A279" s="19">
        <v>278</v>
      </c>
      <c r="B279" s="19">
        <v>1</v>
      </c>
      <c r="C279" s="18" t="s">
        <v>23</v>
      </c>
      <c r="D279" s="18" t="s">
        <v>698</v>
      </c>
      <c r="E279" s="16" t="s">
        <v>316</v>
      </c>
      <c r="F279" s="19" t="s">
        <v>56</v>
      </c>
      <c r="G279" s="27">
        <v>3</v>
      </c>
      <c r="H279" s="26">
        <v>12091</v>
      </c>
      <c r="I279" s="26">
        <f t="shared" si="12"/>
        <v>36273</v>
      </c>
      <c r="V279" t="b">
        <f t="shared" si="13"/>
        <v>0</v>
      </c>
      <c r="X279" t="str">
        <f t="shared" si="14"/>
        <v>51.05.1341</v>
      </c>
    </row>
    <row r="280" spans="1:24" ht="72" x14ac:dyDescent="0.3">
      <c r="A280" s="19">
        <v>279</v>
      </c>
      <c r="B280" s="19">
        <v>1</v>
      </c>
      <c r="C280" s="18" t="s">
        <v>23</v>
      </c>
      <c r="D280" s="18" t="s">
        <v>699</v>
      </c>
      <c r="E280" s="16" t="s">
        <v>317</v>
      </c>
      <c r="F280" s="19" t="s">
        <v>56</v>
      </c>
      <c r="G280" s="27">
        <v>9</v>
      </c>
      <c r="H280" s="26">
        <v>5262</v>
      </c>
      <c r="I280" s="26">
        <f t="shared" si="12"/>
        <v>47358</v>
      </c>
      <c r="V280" t="b">
        <f t="shared" si="13"/>
        <v>0</v>
      </c>
      <c r="X280" t="str">
        <f t="shared" si="14"/>
        <v>51.05.1753</v>
      </c>
    </row>
    <row r="281" spans="1:24" ht="72" x14ac:dyDescent="0.3">
      <c r="A281" s="19">
        <v>280</v>
      </c>
      <c r="B281" s="19">
        <v>1</v>
      </c>
      <c r="C281" s="18" t="s">
        <v>23</v>
      </c>
      <c r="D281" s="18" t="s">
        <v>700</v>
      </c>
      <c r="E281" s="16" t="s">
        <v>318</v>
      </c>
      <c r="F281" s="19" t="s">
        <v>313</v>
      </c>
      <c r="G281" s="27">
        <v>110</v>
      </c>
      <c r="H281" s="26">
        <v>1338</v>
      </c>
      <c r="I281" s="26">
        <f t="shared" si="12"/>
        <v>147180</v>
      </c>
      <c r="V281" t="b">
        <f t="shared" si="13"/>
        <v>0</v>
      </c>
      <c r="X281" t="str">
        <f t="shared" si="14"/>
        <v>51.05.2093</v>
      </c>
    </row>
    <row r="282" spans="1:24" ht="72" x14ac:dyDescent="0.3">
      <c r="A282" s="19">
        <v>281</v>
      </c>
      <c r="B282" s="19">
        <v>1</v>
      </c>
      <c r="C282" s="18" t="s">
        <v>23</v>
      </c>
      <c r="D282" s="18" t="s">
        <v>701</v>
      </c>
      <c r="E282" s="16" t="s">
        <v>319</v>
      </c>
      <c r="F282" s="19" t="s">
        <v>313</v>
      </c>
      <c r="G282" s="27">
        <v>22</v>
      </c>
      <c r="H282" s="26">
        <v>2376</v>
      </c>
      <c r="I282" s="26">
        <f t="shared" si="12"/>
        <v>52272</v>
      </c>
      <c r="V282" t="b">
        <f t="shared" si="13"/>
        <v>0</v>
      </c>
      <c r="X282" t="str">
        <f t="shared" si="14"/>
        <v>51.05.2107</v>
      </c>
    </row>
    <row r="283" spans="1:24" ht="72" x14ac:dyDescent="0.3">
      <c r="A283" s="19">
        <v>282</v>
      </c>
      <c r="B283" s="19">
        <v>1</v>
      </c>
      <c r="C283" s="18" t="s">
        <v>23</v>
      </c>
      <c r="D283" s="18" t="s">
        <v>702</v>
      </c>
      <c r="E283" s="16" t="s">
        <v>320</v>
      </c>
      <c r="F283" s="19" t="s">
        <v>313</v>
      </c>
      <c r="G283" s="27">
        <v>33</v>
      </c>
      <c r="H283" s="26">
        <v>5289</v>
      </c>
      <c r="I283" s="26">
        <f t="shared" si="12"/>
        <v>174537</v>
      </c>
      <c r="V283" t="b">
        <f t="shared" si="13"/>
        <v>0</v>
      </c>
      <c r="X283" t="str">
        <f t="shared" si="14"/>
        <v>51.05.2161</v>
      </c>
    </row>
    <row r="284" spans="1:24" ht="57.6" x14ac:dyDescent="0.3">
      <c r="A284" s="19">
        <v>283</v>
      </c>
      <c r="B284" s="19">
        <v>1</v>
      </c>
      <c r="C284" s="18" t="s">
        <v>23</v>
      </c>
      <c r="D284" s="18" t="s">
        <v>703</v>
      </c>
      <c r="E284" s="16" t="s">
        <v>321</v>
      </c>
      <c r="F284" s="19" t="s">
        <v>59</v>
      </c>
      <c r="G284" s="27">
        <v>3084</v>
      </c>
      <c r="H284" s="26">
        <v>750</v>
      </c>
      <c r="I284" s="26">
        <f t="shared" si="12"/>
        <v>2313000</v>
      </c>
      <c r="V284" t="b">
        <f t="shared" si="13"/>
        <v>0</v>
      </c>
      <c r="X284" t="str">
        <f t="shared" si="14"/>
        <v>51.05.2385</v>
      </c>
    </row>
    <row r="285" spans="1:24" ht="28.8" x14ac:dyDescent="0.3">
      <c r="A285" s="19">
        <v>284</v>
      </c>
      <c r="B285" s="19">
        <v>1</v>
      </c>
      <c r="C285" s="18" t="s">
        <v>23</v>
      </c>
      <c r="D285" s="18" t="s">
        <v>704</v>
      </c>
      <c r="E285" s="16" t="s">
        <v>322</v>
      </c>
      <c r="F285" s="19" t="s">
        <v>56</v>
      </c>
      <c r="G285" s="27">
        <v>55</v>
      </c>
      <c r="H285" s="26">
        <v>2948</v>
      </c>
      <c r="I285" s="26">
        <f t="shared" si="12"/>
        <v>162140</v>
      </c>
      <c r="V285" t="b">
        <f t="shared" si="13"/>
        <v>0</v>
      </c>
      <c r="X285" t="str">
        <f t="shared" si="14"/>
        <v>51.05.2415</v>
      </c>
    </row>
    <row r="286" spans="1:24" ht="28.8" x14ac:dyDescent="0.3">
      <c r="A286" s="19">
        <v>285</v>
      </c>
      <c r="B286" s="19">
        <v>1</v>
      </c>
      <c r="C286" s="18" t="s">
        <v>23</v>
      </c>
      <c r="D286" s="18" t="s">
        <v>705</v>
      </c>
      <c r="E286" s="16" t="s">
        <v>323</v>
      </c>
      <c r="F286" s="19" t="s">
        <v>59</v>
      </c>
      <c r="G286" s="27">
        <v>800</v>
      </c>
      <c r="H286" s="26">
        <v>11</v>
      </c>
      <c r="I286" s="26">
        <f t="shared" si="12"/>
        <v>8800</v>
      </c>
      <c r="V286" t="b">
        <f t="shared" si="13"/>
        <v>0</v>
      </c>
      <c r="X286" t="str">
        <f t="shared" si="14"/>
        <v>51.05.2653</v>
      </c>
    </row>
    <row r="287" spans="1:24" ht="43.2" x14ac:dyDescent="0.3">
      <c r="A287" s="19">
        <v>286</v>
      </c>
      <c r="B287" s="19">
        <v>1</v>
      </c>
      <c r="C287" s="18" t="s">
        <v>324</v>
      </c>
      <c r="D287" s="18" t="s">
        <v>706</v>
      </c>
      <c r="E287" s="16" t="s">
        <v>325</v>
      </c>
      <c r="F287" s="19" t="s">
        <v>30</v>
      </c>
      <c r="G287" s="27">
        <v>125.7</v>
      </c>
      <c r="H287" s="26">
        <v>1047</v>
      </c>
      <c r="I287" s="26">
        <f t="shared" si="12"/>
        <v>131607.9</v>
      </c>
      <c r="V287" t="b">
        <f t="shared" si="13"/>
        <v>0</v>
      </c>
      <c r="X287" t="str">
        <f t="shared" si="14"/>
        <v>51.05.2762</v>
      </c>
    </row>
    <row r="288" spans="1:24" ht="28.8" x14ac:dyDescent="0.3">
      <c r="A288" s="19">
        <v>287</v>
      </c>
      <c r="B288" s="19">
        <v>1</v>
      </c>
      <c r="C288" s="18" t="s">
        <v>324</v>
      </c>
      <c r="D288" s="18" t="s">
        <v>707</v>
      </c>
      <c r="E288" s="16" t="s">
        <v>326</v>
      </c>
      <c r="F288" s="19" t="s">
        <v>30</v>
      </c>
      <c r="G288" s="27">
        <v>544.1</v>
      </c>
      <c r="H288" s="26">
        <v>977</v>
      </c>
      <c r="I288" s="26">
        <f t="shared" si="12"/>
        <v>531585.70000000007</v>
      </c>
      <c r="V288" t="b">
        <f t="shared" si="13"/>
        <v>0</v>
      </c>
      <c r="X288" t="str">
        <f t="shared" si="14"/>
        <v>51.05.2787</v>
      </c>
    </row>
    <row r="289" spans="1:24" ht="72" x14ac:dyDescent="0.3">
      <c r="A289" s="19">
        <v>288</v>
      </c>
      <c r="B289" s="19">
        <v>1</v>
      </c>
      <c r="C289" s="18" t="s">
        <v>324</v>
      </c>
      <c r="D289" s="18" t="s">
        <v>708</v>
      </c>
      <c r="E289" s="16" t="s">
        <v>327</v>
      </c>
      <c r="F289" s="19" t="s">
        <v>30</v>
      </c>
      <c r="G289" s="27">
        <v>91.5</v>
      </c>
      <c r="H289" s="26">
        <v>165</v>
      </c>
      <c r="I289" s="26">
        <f t="shared" si="12"/>
        <v>15097.5</v>
      </c>
      <c r="V289" t="b">
        <f t="shared" si="13"/>
        <v>0</v>
      </c>
      <c r="X289" t="str">
        <f t="shared" si="14"/>
        <v>51.05.2803</v>
      </c>
    </row>
    <row r="290" spans="1:24" ht="28.8" x14ac:dyDescent="0.3">
      <c r="A290" s="19">
        <v>289</v>
      </c>
      <c r="B290" s="19">
        <v>1</v>
      </c>
      <c r="C290" s="18" t="s">
        <v>324</v>
      </c>
      <c r="D290" s="18" t="s">
        <v>709</v>
      </c>
      <c r="E290" s="16" t="s">
        <v>328</v>
      </c>
      <c r="F290" s="19" t="s">
        <v>30</v>
      </c>
      <c r="G290" s="27">
        <v>301.5</v>
      </c>
      <c r="H290" s="26">
        <v>210</v>
      </c>
      <c r="I290" s="26">
        <f t="shared" si="12"/>
        <v>63315</v>
      </c>
      <c r="V290" t="b">
        <f t="shared" si="13"/>
        <v>0</v>
      </c>
      <c r="X290" t="str">
        <f t="shared" si="14"/>
        <v>51.05.2814</v>
      </c>
    </row>
    <row r="291" spans="1:24" ht="28.8" x14ac:dyDescent="0.3">
      <c r="A291" s="19">
        <v>290</v>
      </c>
      <c r="B291" s="19">
        <v>1</v>
      </c>
      <c r="C291" s="18" t="s">
        <v>324</v>
      </c>
      <c r="D291" s="18" t="s">
        <v>710</v>
      </c>
      <c r="E291" s="16" t="s">
        <v>329</v>
      </c>
      <c r="F291" s="19" t="s">
        <v>28</v>
      </c>
      <c r="G291" s="27">
        <v>5000</v>
      </c>
      <c r="H291" s="26">
        <v>8.9</v>
      </c>
      <c r="I291" s="26">
        <f t="shared" si="12"/>
        <v>44500</v>
      </c>
      <c r="V291" t="b">
        <f t="shared" si="13"/>
        <v>0</v>
      </c>
      <c r="X291" t="str">
        <f t="shared" si="14"/>
        <v>51.05.2824</v>
      </c>
    </row>
    <row r="292" spans="1:24" ht="43.2" x14ac:dyDescent="0.3">
      <c r="A292" s="19">
        <v>291</v>
      </c>
      <c r="B292" s="19">
        <v>1</v>
      </c>
      <c r="C292" s="18" t="s">
        <v>324</v>
      </c>
      <c r="D292" s="18" t="s">
        <v>711</v>
      </c>
      <c r="E292" s="16" t="s">
        <v>330</v>
      </c>
      <c r="F292" s="19" t="s">
        <v>28</v>
      </c>
      <c r="G292" s="27">
        <v>347.1</v>
      </c>
      <c r="H292" s="26">
        <v>120</v>
      </c>
      <c r="I292" s="26">
        <f t="shared" si="12"/>
        <v>41652</v>
      </c>
      <c r="V292" t="b">
        <f t="shared" si="13"/>
        <v>0</v>
      </c>
      <c r="X292" t="str">
        <f t="shared" si="14"/>
        <v>51.05.2954</v>
      </c>
    </row>
    <row r="293" spans="1:24" ht="28.8" x14ac:dyDescent="0.3">
      <c r="A293" s="19">
        <v>292</v>
      </c>
      <c r="B293" s="19">
        <v>1</v>
      </c>
      <c r="C293" s="18" t="s">
        <v>324</v>
      </c>
      <c r="D293" s="18" t="s">
        <v>712</v>
      </c>
      <c r="E293" s="16" t="s">
        <v>331</v>
      </c>
      <c r="F293" s="19" t="s">
        <v>28</v>
      </c>
      <c r="G293" s="27">
        <v>28500</v>
      </c>
      <c r="H293" s="26">
        <v>115</v>
      </c>
      <c r="I293" s="26">
        <f t="shared" si="12"/>
        <v>3277500</v>
      </c>
      <c r="V293" t="b">
        <f t="shared" si="13"/>
        <v>0</v>
      </c>
      <c r="X293" t="str">
        <f t="shared" si="14"/>
        <v>51.05.2965</v>
      </c>
    </row>
    <row r="294" spans="1:24" x14ac:dyDescent="0.3">
      <c r="A294" s="19">
        <v>293</v>
      </c>
      <c r="B294" s="19">
        <v>1</v>
      </c>
      <c r="C294" s="18" t="s">
        <v>332</v>
      </c>
      <c r="D294" s="18" t="s">
        <v>713</v>
      </c>
      <c r="E294" s="16" t="s">
        <v>333</v>
      </c>
      <c r="F294" s="19" t="s">
        <v>59</v>
      </c>
      <c r="G294" s="27">
        <v>3210</v>
      </c>
      <c r="H294" s="26">
        <v>99</v>
      </c>
      <c r="I294" s="26">
        <f t="shared" si="12"/>
        <v>317790</v>
      </c>
      <c r="V294" t="b">
        <f t="shared" si="13"/>
        <v>0</v>
      </c>
      <c r="X294" t="str">
        <f t="shared" si="14"/>
        <v>51.06.0010</v>
      </c>
    </row>
    <row r="295" spans="1:24" ht="28.8" x14ac:dyDescent="0.3">
      <c r="A295" s="19">
        <v>294</v>
      </c>
      <c r="B295" s="19">
        <v>1</v>
      </c>
      <c r="C295" s="18" t="s">
        <v>332</v>
      </c>
      <c r="D295" s="18" t="s">
        <v>714</v>
      </c>
      <c r="E295" s="16" t="s">
        <v>334</v>
      </c>
      <c r="F295" s="19" t="s">
        <v>59</v>
      </c>
      <c r="G295" s="27">
        <v>1630</v>
      </c>
      <c r="H295" s="26">
        <v>84</v>
      </c>
      <c r="I295" s="26">
        <f t="shared" si="12"/>
        <v>136920</v>
      </c>
      <c r="V295" t="b">
        <f t="shared" si="13"/>
        <v>0</v>
      </c>
      <c r="X295" t="str">
        <f t="shared" si="14"/>
        <v>51.06.0031</v>
      </c>
    </row>
    <row r="296" spans="1:24" ht="28.8" x14ac:dyDescent="0.3">
      <c r="A296" s="19">
        <v>295</v>
      </c>
      <c r="B296" s="19">
        <v>1</v>
      </c>
      <c r="C296" s="18" t="s">
        <v>332</v>
      </c>
      <c r="D296" s="18" t="s">
        <v>715</v>
      </c>
      <c r="E296" s="16" t="s">
        <v>335</v>
      </c>
      <c r="F296" s="19" t="s">
        <v>59</v>
      </c>
      <c r="G296" s="27">
        <v>90</v>
      </c>
      <c r="H296" s="26">
        <v>110</v>
      </c>
      <c r="I296" s="26">
        <f t="shared" si="12"/>
        <v>9900</v>
      </c>
      <c r="V296" t="b">
        <f t="shared" si="13"/>
        <v>0</v>
      </c>
      <c r="X296" t="str">
        <f t="shared" si="14"/>
        <v>51.06.0111</v>
      </c>
    </row>
    <row r="297" spans="1:24" ht="28.8" x14ac:dyDescent="0.3">
      <c r="A297" s="19">
        <v>296</v>
      </c>
      <c r="B297" s="19">
        <v>1</v>
      </c>
      <c r="C297" s="18" t="s">
        <v>332</v>
      </c>
      <c r="D297" s="18" t="s">
        <v>716</v>
      </c>
      <c r="E297" s="16" t="s">
        <v>336</v>
      </c>
      <c r="F297" s="19" t="s">
        <v>59</v>
      </c>
      <c r="G297" s="27">
        <v>5425</v>
      </c>
      <c r="H297" s="26">
        <v>101</v>
      </c>
      <c r="I297" s="26">
        <f t="shared" si="12"/>
        <v>547925</v>
      </c>
      <c r="V297" t="b">
        <f t="shared" si="13"/>
        <v>0</v>
      </c>
      <c r="X297" t="str">
        <f t="shared" si="14"/>
        <v>51.06.0112</v>
      </c>
    </row>
    <row r="298" spans="1:24" ht="28.8" x14ac:dyDescent="0.3">
      <c r="A298" s="19">
        <v>297</v>
      </c>
      <c r="B298" s="19">
        <v>1</v>
      </c>
      <c r="C298" s="18" t="s">
        <v>332</v>
      </c>
      <c r="D298" s="18" t="s">
        <v>717</v>
      </c>
      <c r="E298" s="16" t="s">
        <v>337</v>
      </c>
      <c r="F298" s="19" t="s">
        <v>59</v>
      </c>
      <c r="G298" s="27">
        <v>11552</v>
      </c>
      <c r="H298" s="26">
        <v>92</v>
      </c>
      <c r="I298" s="26">
        <f t="shared" si="12"/>
        <v>1062784</v>
      </c>
      <c r="V298" t="b">
        <f t="shared" si="13"/>
        <v>0</v>
      </c>
      <c r="X298" t="str">
        <f t="shared" si="14"/>
        <v>51.06.0120</v>
      </c>
    </row>
    <row r="299" spans="1:24" ht="43.2" x14ac:dyDescent="0.3">
      <c r="A299" s="19">
        <v>298</v>
      </c>
      <c r="B299" s="19">
        <v>1</v>
      </c>
      <c r="C299" s="18" t="s">
        <v>332</v>
      </c>
      <c r="D299" s="18" t="s">
        <v>718</v>
      </c>
      <c r="E299" s="16" t="s">
        <v>338</v>
      </c>
      <c r="F299" s="19" t="s">
        <v>28</v>
      </c>
      <c r="G299" s="27">
        <v>23000</v>
      </c>
      <c r="H299" s="26">
        <v>101</v>
      </c>
      <c r="I299" s="26">
        <f t="shared" si="12"/>
        <v>2323000</v>
      </c>
      <c r="V299" t="b">
        <f t="shared" si="13"/>
        <v>0</v>
      </c>
      <c r="X299" t="str">
        <f t="shared" si="14"/>
        <v>51.06.0451</v>
      </c>
    </row>
    <row r="300" spans="1:24" ht="43.2" x14ac:dyDescent="0.3">
      <c r="A300" s="19">
        <v>299</v>
      </c>
      <c r="B300" s="19">
        <v>1</v>
      </c>
      <c r="C300" s="18" t="s">
        <v>332</v>
      </c>
      <c r="D300" s="18" t="s">
        <v>719</v>
      </c>
      <c r="E300" s="16" t="s">
        <v>339</v>
      </c>
      <c r="F300" s="19" t="s">
        <v>28</v>
      </c>
      <c r="G300" s="27">
        <v>300</v>
      </c>
      <c r="H300" s="26">
        <v>190</v>
      </c>
      <c r="I300" s="26">
        <f t="shared" si="12"/>
        <v>57000</v>
      </c>
      <c r="V300" t="b">
        <f t="shared" si="13"/>
        <v>0</v>
      </c>
      <c r="X300" t="str">
        <f t="shared" si="14"/>
        <v>51.06.0540</v>
      </c>
    </row>
    <row r="301" spans="1:24" ht="28.8" x14ac:dyDescent="0.3">
      <c r="A301" s="19">
        <v>300</v>
      </c>
      <c r="B301" s="19">
        <v>1</v>
      </c>
      <c r="C301" s="18" t="s">
        <v>332</v>
      </c>
      <c r="D301" s="18" t="s">
        <v>720</v>
      </c>
      <c r="E301" s="16" t="s">
        <v>340</v>
      </c>
      <c r="F301" s="19" t="s">
        <v>28</v>
      </c>
      <c r="G301" s="27">
        <v>1700</v>
      </c>
      <c r="H301" s="26">
        <v>145</v>
      </c>
      <c r="I301" s="26">
        <f t="shared" si="12"/>
        <v>246500</v>
      </c>
      <c r="V301" t="b">
        <f t="shared" si="13"/>
        <v>0</v>
      </c>
      <c r="X301" t="str">
        <f t="shared" si="14"/>
        <v>51.06.0544</v>
      </c>
    </row>
    <row r="302" spans="1:24" ht="43.2" x14ac:dyDescent="0.3">
      <c r="A302" s="19">
        <v>301</v>
      </c>
      <c r="B302" s="19">
        <v>1</v>
      </c>
      <c r="C302" s="18" t="s">
        <v>341</v>
      </c>
      <c r="D302" s="18" t="s">
        <v>721</v>
      </c>
      <c r="E302" s="16" t="s">
        <v>342</v>
      </c>
      <c r="F302" s="19" t="s">
        <v>28</v>
      </c>
      <c r="G302" s="27">
        <v>30000</v>
      </c>
      <c r="H302" s="26">
        <v>9.5</v>
      </c>
      <c r="I302" s="26">
        <f t="shared" si="12"/>
        <v>285000</v>
      </c>
      <c r="V302" t="b">
        <f t="shared" si="13"/>
        <v>0</v>
      </c>
      <c r="X302" t="str">
        <f t="shared" si="14"/>
        <v>51.07.0020</v>
      </c>
    </row>
    <row r="303" spans="1:24" ht="43.2" x14ac:dyDescent="0.3">
      <c r="A303" s="19">
        <v>302</v>
      </c>
      <c r="B303" s="19">
        <v>1</v>
      </c>
      <c r="C303" s="18" t="s">
        <v>341</v>
      </c>
      <c r="D303" s="18" t="s">
        <v>722</v>
      </c>
      <c r="E303" s="16" t="s">
        <v>343</v>
      </c>
      <c r="F303" s="19" t="s">
        <v>28</v>
      </c>
      <c r="G303" s="27">
        <v>157000</v>
      </c>
      <c r="H303" s="26">
        <v>13</v>
      </c>
      <c r="I303" s="26">
        <f t="shared" si="12"/>
        <v>2041000</v>
      </c>
      <c r="V303" t="b">
        <f t="shared" si="13"/>
        <v>0</v>
      </c>
      <c r="X303" t="str">
        <f t="shared" si="14"/>
        <v>51.07.0230</v>
      </c>
    </row>
    <row r="304" spans="1:24" ht="57.6" x14ac:dyDescent="0.3">
      <c r="A304" s="19">
        <v>303</v>
      </c>
      <c r="B304" s="19">
        <v>1</v>
      </c>
      <c r="C304" s="18" t="s">
        <v>341</v>
      </c>
      <c r="D304" s="18" t="s">
        <v>723</v>
      </c>
      <c r="E304" s="16" t="s">
        <v>344</v>
      </c>
      <c r="F304" s="19" t="s">
        <v>59</v>
      </c>
      <c r="G304" s="27">
        <v>12000</v>
      </c>
      <c r="H304" s="26">
        <v>10.029999999999999</v>
      </c>
      <c r="I304" s="26">
        <f t="shared" si="12"/>
        <v>120359.99999999999</v>
      </c>
      <c r="V304" t="b">
        <f t="shared" si="13"/>
        <v>0</v>
      </c>
      <c r="X304" t="str">
        <f t="shared" si="14"/>
        <v>51.07.0237</v>
      </c>
    </row>
    <row r="305" spans="1:24" ht="43.2" x14ac:dyDescent="0.3">
      <c r="A305" s="19">
        <v>304</v>
      </c>
      <c r="B305" s="19">
        <v>1</v>
      </c>
      <c r="C305" s="18" t="s">
        <v>341</v>
      </c>
      <c r="D305" s="18" t="s">
        <v>724</v>
      </c>
      <c r="E305" s="16" t="s">
        <v>345</v>
      </c>
      <c r="F305" s="19" t="s">
        <v>28</v>
      </c>
      <c r="G305" s="27">
        <v>30000</v>
      </c>
      <c r="H305" s="26">
        <v>12.75</v>
      </c>
      <c r="I305" s="26">
        <f t="shared" si="12"/>
        <v>382500</v>
      </c>
      <c r="V305" t="b">
        <f t="shared" si="13"/>
        <v>0</v>
      </c>
      <c r="X305" t="str">
        <f t="shared" si="14"/>
        <v>51.07.0700</v>
      </c>
    </row>
    <row r="306" spans="1:24" x14ac:dyDescent="0.3">
      <c r="A306" s="19">
        <v>305</v>
      </c>
      <c r="B306" s="19">
        <v>1</v>
      </c>
      <c r="C306" s="18" t="s">
        <v>276</v>
      </c>
      <c r="D306" s="18" t="s">
        <v>725</v>
      </c>
      <c r="E306" s="16" t="s">
        <v>346</v>
      </c>
      <c r="F306" s="19" t="s">
        <v>59</v>
      </c>
      <c r="G306" s="27">
        <v>5000</v>
      </c>
      <c r="H306" s="26">
        <v>15.4</v>
      </c>
      <c r="I306" s="26">
        <f t="shared" si="12"/>
        <v>77000</v>
      </c>
      <c r="V306" t="b">
        <f t="shared" si="13"/>
        <v>0</v>
      </c>
      <c r="X306" t="str">
        <f t="shared" si="14"/>
        <v>51.21.0020</v>
      </c>
    </row>
    <row r="307" spans="1:24" ht="57.6" x14ac:dyDescent="0.3">
      <c r="A307" s="19">
        <v>306</v>
      </c>
      <c r="B307" s="19">
        <v>1</v>
      </c>
      <c r="C307" s="18" t="s">
        <v>347</v>
      </c>
      <c r="D307" s="18" t="s">
        <v>726</v>
      </c>
      <c r="E307" s="16" t="s">
        <v>348</v>
      </c>
      <c r="F307" s="19" t="s">
        <v>28</v>
      </c>
      <c r="G307" s="27">
        <v>400.56</v>
      </c>
      <c r="H307" s="26">
        <v>493</v>
      </c>
      <c r="I307" s="26">
        <f t="shared" si="12"/>
        <v>197476.08</v>
      </c>
      <c r="V307" t="b">
        <f t="shared" si="13"/>
        <v>0</v>
      </c>
      <c r="X307" t="str">
        <f t="shared" si="14"/>
        <v>51.31.2002</v>
      </c>
    </row>
    <row r="308" spans="1:24" ht="72" x14ac:dyDescent="0.3">
      <c r="A308" s="19">
        <v>307</v>
      </c>
      <c r="B308" s="19">
        <v>1</v>
      </c>
      <c r="C308" s="18" t="s">
        <v>347</v>
      </c>
      <c r="D308" s="18" t="s">
        <v>727</v>
      </c>
      <c r="E308" s="16" t="s">
        <v>349</v>
      </c>
      <c r="F308" s="19" t="s">
        <v>28</v>
      </c>
      <c r="G308" s="27">
        <v>656.5</v>
      </c>
      <c r="H308" s="26">
        <v>506</v>
      </c>
      <c r="I308" s="26">
        <f t="shared" si="12"/>
        <v>332189</v>
      </c>
      <c r="V308" t="b">
        <f t="shared" si="13"/>
        <v>0</v>
      </c>
      <c r="X308" t="str">
        <f t="shared" si="14"/>
        <v>51.31.2003</v>
      </c>
    </row>
    <row r="309" spans="1:24" ht="43.2" x14ac:dyDescent="0.3">
      <c r="A309" s="19">
        <v>308</v>
      </c>
      <c r="B309" s="19">
        <v>1</v>
      </c>
      <c r="C309" s="18" t="s">
        <v>347</v>
      </c>
      <c r="D309" s="18" t="s">
        <v>728</v>
      </c>
      <c r="E309" s="16" t="s">
        <v>350</v>
      </c>
      <c r="F309" s="19" t="s">
        <v>28</v>
      </c>
      <c r="G309" s="27">
        <v>803.18</v>
      </c>
      <c r="H309" s="26">
        <v>576</v>
      </c>
      <c r="I309" s="26">
        <f t="shared" si="12"/>
        <v>462631.67999999999</v>
      </c>
      <c r="V309" t="b">
        <f t="shared" si="13"/>
        <v>0</v>
      </c>
      <c r="X309" t="str">
        <f t="shared" si="14"/>
        <v>51.31.2040</v>
      </c>
    </row>
    <row r="310" spans="1:24" ht="57.6" x14ac:dyDescent="0.3">
      <c r="A310" s="19">
        <v>309</v>
      </c>
      <c r="B310" s="19">
        <v>1</v>
      </c>
      <c r="C310" s="18" t="s">
        <v>347</v>
      </c>
      <c r="D310" s="18" t="s">
        <v>729</v>
      </c>
      <c r="E310" s="16" t="s">
        <v>351</v>
      </c>
      <c r="F310" s="19" t="s">
        <v>28</v>
      </c>
      <c r="G310" s="27">
        <v>8.7200000000000006</v>
      </c>
      <c r="H310" s="26">
        <v>63</v>
      </c>
      <c r="I310" s="26">
        <f t="shared" si="12"/>
        <v>549.36</v>
      </c>
      <c r="V310" t="b">
        <f t="shared" si="13"/>
        <v>0</v>
      </c>
      <c r="X310" t="str">
        <f t="shared" si="14"/>
        <v>51.31.2100</v>
      </c>
    </row>
    <row r="311" spans="1:24" ht="57.6" x14ac:dyDescent="0.3">
      <c r="A311" s="19">
        <v>310</v>
      </c>
      <c r="B311" s="19">
        <v>1</v>
      </c>
      <c r="C311" s="18" t="s">
        <v>347</v>
      </c>
      <c r="D311" s="18" t="s">
        <v>730</v>
      </c>
      <c r="E311" s="16" t="s">
        <v>352</v>
      </c>
      <c r="F311" s="19" t="s">
        <v>59</v>
      </c>
      <c r="G311" s="27">
        <v>1130.28</v>
      </c>
      <c r="H311" s="26">
        <v>57.2</v>
      </c>
      <c r="I311" s="26">
        <f t="shared" si="12"/>
        <v>64652.016000000003</v>
      </c>
      <c r="V311" t="b">
        <f t="shared" si="13"/>
        <v>0</v>
      </c>
      <c r="X311" t="str">
        <f t="shared" si="14"/>
        <v>51.31.2202</v>
      </c>
    </row>
    <row r="312" spans="1:24" ht="57.6" x14ac:dyDescent="0.3">
      <c r="A312" s="19">
        <v>311</v>
      </c>
      <c r="B312" s="19">
        <v>1</v>
      </c>
      <c r="C312" s="18" t="s">
        <v>347</v>
      </c>
      <c r="D312" s="18" t="s">
        <v>731</v>
      </c>
      <c r="E312" s="16" t="s">
        <v>353</v>
      </c>
      <c r="F312" s="19" t="s">
        <v>59</v>
      </c>
      <c r="G312" s="27">
        <v>313.13</v>
      </c>
      <c r="H312" s="26">
        <v>84</v>
      </c>
      <c r="I312" s="26">
        <f t="shared" si="12"/>
        <v>26302.92</v>
      </c>
      <c r="V312" t="b">
        <f t="shared" si="13"/>
        <v>0</v>
      </c>
      <c r="X312" t="str">
        <f t="shared" si="14"/>
        <v>51.31.2205</v>
      </c>
    </row>
    <row r="313" spans="1:24" ht="57.6" x14ac:dyDescent="0.3">
      <c r="A313" s="19">
        <v>312</v>
      </c>
      <c r="B313" s="19">
        <v>1</v>
      </c>
      <c r="C313" s="18" t="s">
        <v>347</v>
      </c>
      <c r="D313" s="18" t="s">
        <v>732</v>
      </c>
      <c r="E313" s="16" t="s">
        <v>354</v>
      </c>
      <c r="F313" s="19" t="s">
        <v>59</v>
      </c>
      <c r="G313" s="27">
        <v>1692.76</v>
      </c>
      <c r="H313" s="26">
        <v>118.8</v>
      </c>
      <c r="I313" s="26">
        <f t="shared" si="12"/>
        <v>201099.88800000001</v>
      </c>
      <c r="V313" t="b">
        <f t="shared" si="13"/>
        <v>0</v>
      </c>
      <c r="X313" t="str">
        <f t="shared" si="14"/>
        <v>51.31.2208</v>
      </c>
    </row>
    <row r="314" spans="1:24" ht="28.8" x14ac:dyDescent="0.3">
      <c r="A314" s="19">
        <v>313</v>
      </c>
      <c r="B314" s="19">
        <v>1</v>
      </c>
      <c r="C314" s="18" t="s">
        <v>347</v>
      </c>
      <c r="D314" s="18" t="s">
        <v>733</v>
      </c>
      <c r="E314" s="16" t="s">
        <v>355</v>
      </c>
      <c r="F314" s="19" t="s">
        <v>28</v>
      </c>
      <c r="G314" s="27">
        <v>7</v>
      </c>
      <c r="H314" s="26">
        <v>475</v>
      </c>
      <c r="I314" s="26">
        <f t="shared" si="12"/>
        <v>3325</v>
      </c>
      <c r="V314" t="b">
        <f t="shared" si="13"/>
        <v>0</v>
      </c>
      <c r="X314" t="str">
        <f t="shared" si="14"/>
        <v>51.31.2300</v>
      </c>
    </row>
    <row r="315" spans="1:24" ht="43.2" x14ac:dyDescent="0.3">
      <c r="A315" s="19">
        <v>314</v>
      </c>
      <c r="B315" s="19">
        <v>1</v>
      </c>
      <c r="C315" s="18" t="s">
        <v>195</v>
      </c>
      <c r="D315" s="18" t="s">
        <v>734</v>
      </c>
      <c r="E315" s="16" t="s">
        <v>356</v>
      </c>
      <c r="F315" s="19" t="s">
        <v>56</v>
      </c>
      <c r="G315" s="27">
        <v>8</v>
      </c>
      <c r="H315" s="26">
        <v>2191</v>
      </c>
      <c r="I315" s="26">
        <f t="shared" si="12"/>
        <v>17528</v>
      </c>
      <c r="V315" t="b">
        <f t="shared" si="13"/>
        <v>0</v>
      </c>
      <c r="X315" t="str">
        <f t="shared" si="14"/>
        <v>51.31.5250</v>
      </c>
    </row>
    <row r="316" spans="1:24" ht="28.8" x14ac:dyDescent="0.3">
      <c r="A316" s="19">
        <v>315</v>
      </c>
      <c r="B316" s="19">
        <v>1</v>
      </c>
      <c r="C316" s="18" t="s">
        <v>347</v>
      </c>
      <c r="D316" s="18" t="s">
        <v>735</v>
      </c>
      <c r="E316" s="16" t="s">
        <v>357</v>
      </c>
      <c r="F316" s="19" t="s">
        <v>56</v>
      </c>
      <c r="G316" s="27">
        <v>37</v>
      </c>
      <c r="H316" s="26">
        <v>15</v>
      </c>
      <c r="I316" s="26">
        <f t="shared" si="12"/>
        <v>555</v>
      </c>
      <c r="V316" t="b">
        <f t="shared" si="13"/>
        <v>0</v>
      </c>
      <c r="X316" t="str">
        <f t="shared" si="14"/>
        <v>51.31.5285</v>
      </c>
    </row>
    <row r="317" spans="1:24" ht="28.8" x14ac:dyDescent="0.3">
      <c r="A317" s="19">
        <v>316</v>
      </c>
      <c r="B317" s="19">
        <v>1</v>
      </c>
      <c r="C317" s="18" t="s">
        <v>347</v>
      </c>
      <c r="D317" s="18" t="s">
        <v>736</v>
      </c>
      <c r="E317" s="16" t="s">
        <v>358</v>
      </c>
      <c r="F317" s="19" t="s">
        <v>56</v>
      </c>
      <c r="G317" s="27">
        <v>54</v>
      </c>
      <c r="H317" s="26">
        <v>17</v>
      </c>
      <c r="I317" s="26">
        <f t="shared" si="12"/>
        <v>918</v>
      </c>
      <c r="V317" t="b">
        <f t="shared" si="13"/>
        <v>0</v>
      </c>
      <c r="X317" t="str">
        <f t="shared" si="14"/>
        <v>51.31.5290</v>
      </c>
    </row>
    <row r="318" spans="1:24" ht="28.8" x14ac:dyDescent="0.3">
      <c r="A318" s="19">
        <v>317</v>
      </c>
      <c r="B318" s="19">
        <v>1</v>
      </c>
      <c r="C318" s="18" t="s">
        <v>347</v>
      </c>
      <c r="D318" s="18" t="s">
        <v>737</v>
      </c>
      <c r="E318" s="16" t="s">
        <v>359</v>
      </c>
      <c r="F318" s="19" t="s">
        <v>56</v>
      </c>
      <c r="G318" s="27">
        <v>210</v>
      </c>
      <c r="H318" s="26">
        <v>20</v>
      </c>
      <c r="I318" s="26">
        <f t="shared" si="12"/>
        <v>4200</v>
      </c>
      <c r="V318" t="b">
        <f t="shared" si="13"/>
        <v>0</v>
      </c>
      <c r="X318" t="str">
        <f t="shared" si="14"/>
        <v>51.31.5295</v>
      </c>
    </row>
    <row r="319" spans="1:24" ht="43.2" x14ac:dyDescent="0.3">
      <c r="A319" s="19">
        <v>318</v>
      </c>
      <c r="B319" s="19">
        <v>1</v>
      </c>
      <c r="C319" s="18" t="s">
        <v>360</v>
      </c>
      <c r="D319" s="18" t="s">
        <v>738</v>
      </c>
      <c r="E319" s="16" t="s">
        <v>361</v>
      </c>
      <c r="F319" s="19" t="s">
        <v>59</v>
      </c>
      <c r="G319" s="27">
        <v>65</v>
      </c>
      <c r="H319" s="26">
        <v>1.7</v>
      </c>
      <c r="I319" s="26">
        <f t="shared" si="12"/>
        <v>110.5</v>
      </c>
      <c r="V319" t="b">
        <f t="shared" si="13"/>
        <v>0</v>
      </c>
      <c r="X319" t="str">
        <f t="shared" si="14"/>
        <v>51.32.1725</v>
      </c>
    </row>
    <row r="320" spans="1:24" ht="43.2" x14ac:dyDescent="0.3">
      <c r="A320" s="19">
        <v>319</v>
      </c>
      <c r="B320" s="19">
        <v>1</v>
      </c>
      <c r="C320" s="18" t="s">
        <v>360</v>
      </c>
      <c r="D320" s="18" t="s">
        <v>739</v>
      </c>
      <c r="E320" s="16" t="s">
        <v>362</v>
      </c>
      <c r="F320" s="19" t="s">
        <v>59</v>
      </c>
      <c r="G320" s="27">
        <v>33925</v>
      </c>
      <c r="H320" s="26">
        <v>1.7</v>
      </c>
      <c r="I320" s="26">
        <f t="shared" si="12"/>
        <v>57672.5</v>
      </c>
      <c r="V320" t="b">
        <f t="shared" si="13"/>
        <v>0</v>
      </c>
      <c r="X320" t="str">
        <f t="shared" si="14"/>
        <v>51.32.1730</v>
      </c>
    </row>
    <row r="321" spans="1:24" ht="115.2" x14ac:dyDescent="0.3">
      <c r="A321" s="19">
        <v>320</v>
      </c>
      <c r="B321" s="19">
        <v>1</v>
      </c>
      <c r="C321" s="18" t="s">
        <v>360</v>
      </c>
      <c r="D321" s="18" t="s">
        <v>740</v>
      </c>
      <c r="E321" s="16" t="s">
        <v>363</v>
      </c>
      <c r="F321" s="19" t="s">
        <v>59</v>
      </c>
      <c r="G321" s="27">
        <v>29450</v>
      </c>
      <c r="H321" s="26">
        <v>2.11</v>
      </c>
      <c r="I321" s="26">
        <f t="shared" si="12"/>
        <v>62139.499999999993</v>
      </c>
      <c r="V321" t="b">
        <f t="shared" si="13"/>
        <v>0</v>
      </c>
      <c r="X321" t="str">
        <f t="shared" si="14"/>
        <v>51.32.1755</v>
      </c>
    </row>
    <row r="322" spans="1:24" ht="72" x14ac:dyDescent="0.3">
      <c r="A322" s="19">
        <v>321</v>
      </c>
      <c r="B322" s="19">
        <v>1</v>
      </c>
      <c r="C322" s="18" t="s">
        <v>360</v>
      </c>
      <c r="D322" s="18" t="s">
        <v>741</v>
      </c>
      <c r="E322" s="16" t="s">
        <v>364</v>
      </c>
      <c r="F322" s="19" t="s">
        <v>28</v>
      </c>
      <c r="G322" s="27">
        <v>12934</v>
      </c>
      <c r="H322" s="26">
        <v>15.1</v>
      </c>
      <c r="I322" s="26">
        <f t="shared" si="12"/>
        <v>195303.4</v>
      </c>
      <c r="V322" t="b">
        <f t="shared" si="13"/>
        <v>0</v>
      </c>
      <c r="X322" t="str">
        <f t="shared" si="14"/>
        <v>51.32.1795</v>
      </c>
    </row>
    <row r="323" spans="1:24" ht="28.8" x14ac:dyDescent="0.3">
      <c r="A323" s="19">
        <v>322</v>
      </c>
      <c r="B323" s="19">
        <v>1</v>
      </c>
      <c r="C323" s="18" t="s">
        <v>360</v>
      </c>
      <c r="D323" s="18" t="s">
        <v>742</v>
      </c>
      <c r="E323" s="16" t="s">
        <v>365</v>
      </c>
      <c r="F323" s="19" t="s">
        <v>59</v>
      </c>
      <c r="G323" s="27">
        <v>9501</v>
      </c>
      <c r="H323" s="26">
        <v>3.2</v>
      </c>
      <c r="I323" s="26">
        <f t="shared" ref="I323:I364" si="15">H323*G323</f>
        <v>30403.200000000001</v>
      </c>
      <c r="V323" t="b">
        <f t="shared" ref="V323:V365" si="16">COUNTIF($D:$D, D323) &gt; 1</f>
        <v>0</v>
      </c>
      <c r="X323" t="str">
        <f t="shared" ref="X323:X365" si="17">MID(D323,3,LEN(D323)-2)</f>
        <v>51.32.2640</v>
      </c>
    </row>
    <row r="324" spans="1:24" x14ac:dyDescent="0.3">
      <c r="A324" s="19">
        <v>323</v>
      </c>
      <c r="B324" s="19">
        <v>1</v>
      </c>
      <c r="C324" s="18" t="s">
        <v>360</v>
      </c>
      <c r="D324" s="18" t="s">
        <v>743</v>
      </c>
      <c r="E324" s="16" t="s">
        <v>366</v>
      </c>
      <c r="F324" s="19" t="s">
        <v>59</v>
      </c>
      <c r="G324" s="27">
        <v>16000</v>
      </c>
      <c r="H324" s="26">
        <v>5.81</v>
      </c>
      <c r="I324" s="26">
        <f t="shared" si="15"/>
        <v>92960</v>
      </c>
      <c r="V324" t="b">
        <f t="shared" si="16"/>
        <v>0</v>
      </c>
      <c r="X324" t="str">
        <f t="shared" si="17"/>
        <v>51.32.2646</v>
      </c>
    </row>
    <row r="325" spans="1:24" ht="57.6" x14ac:dyDescent="0.3">
      <c r="A325" s="19">
        <v>324</v>
      </c>
      <c r="B325" s="19">
        <v>1</v>
      </c>
      <c r="C325" s="18" t="s">
        <v>367</v>
      </c>
      <c r="D325" s="18" t="s">
        <v>744</v>
      </c>
      <c r="E325" s="16" t="s">
        <v>368</v>
      </c>
      <c r="F325" s="19" t="s">
        <v>59</v>
      </c>
      <c r="G325" s="27">
        <v>2535</v>
      </c>
      <c r="H325" s="26">
        <v>167</v>
      </c>
      <c r="I325" s="26">
        <f t="shared" si="15"/>
        <v>423345</v>
      </c>
      <c r="V325" t="b">
        <f t="shared" si="16"/>
        <v>0</v>
      </c>
      <c r="X325" t="str">
        <f t="shared" si="17"/>
        <v>51.33.1525</v>
      </c>
    </row>
    <row r="326" spans="1:24" ht="43.2" x14ac:dyDescent="0.3">
      <c r="A326" s="19">
        <v>325</v>
      </c>
      <c r="B326" s="19">
        <v>1</v>
      </c>
      <c r="C326" s="18" t="s">
        <v>367</v>
      </c>
      <c r="D326" s="18" t="s">
        <v>745</v>
      </c>
      <c r="E326" s="16" t="s">
        <v>369</v>
      </c>
      <c r="F326" s="19" t="s">
        <v>59</v>
      </c>
      <c r="G326" s="27">
        <v>14720</v>
      </c>
      <c r="H326" s="26">
        <v>240</v>
      </c>
      <c r="I326" s="26">
        <f t="shared" si="15"/>
        <v>3532800</v>
      </c>
      <c r="V326" t="b">
        <f t="shared" si="16"/>
        <v>0</v>
      </c>
      <c r="X326" t="str">
        <f t="shared" si="17"/>
        <v>51.33.1553</v>
      </c>
    </row>
    <row r="327" spans="1:24" ht="43.2" x14ac:dyDescent="0.3">
      <c r="A327" s="19">
        <v>326</v>
      </c>
      <c r="B327" s="19">
        <v>1</v>
      </c>
      <c r="C327" s="18" t="s">
        <v>367</v>
      </c>
      <c r="D327" s="18" t="s">
        <v>746</v>
      </c>
      <c r="E327" s="16" t="s">
        <v>370</v>
      </c>
      <c r="F327" s="19" t="s">
        <v>59</v>
      </c>
      <c r="G327" s="27">
        <v>218</v>
      </c>
      <c r="H327" s="26">
        <v>286</v>
      </c>
      <c r="I327" s="26">
        <f t="shared" si="15"/>
        <v>62348</v>
      </c>
      <c r="V327" t="b">
        <f t="shared" si="16"/>
        <v>0</v>
      </c>
      <c r="X327" t="str">
        <f t="shared" si="17"/>
        <v>51.33.1561</v>
      </c>
    </row>
    <row r="328" spans="1:24" ht="28.8" x14ac:dyDescent="0.3">
      <c r="A328" s="19">
        <v>327</v>
      </c>
      <c r="B328" s="19">
        <v>1</v>
      </c>
      <c r="C328" s="18" t="s">
        <v>371</v>
      </c>
      <c r="D328" s="18" t="s">
        <v>747</v>
      </c>
      <c r="E328" s="16" t="s">
        <v>372</v>
      </c>
      <c r="F328" s="19" t="s">
        <v>56</v>
      </c>
      <c r="G328" s="27">
        <v>26</v>
      </c>
      <c r="H328" s="26">
        <v>1760</v>
      </c>
      <c r="I328" s="26">
        <f t="shared" si="15"/>
        <v>45760</v>
      </c>
      <c r="V328" t="b">
        <f t="shared" si="16"/>
        <v>0</v>
      </c>
      <c r="X328" t="str">
        <f t="shared" si="17"/>
        <v>51.33.1762</v>
      </c>
    </row>
    <row r="329" spans="1:24" ht="28.8" x14ac:dyDescent="0.3">
      <c r="A329" s="19">
        <v>328</v>
      </c>
      <c r="B329" s="19">
        <v>1</v>
      </c>
      <c r="C329" s="18" t="s">
        <v>371</v>
      </c>
      <c r="D329" s="18" t="s">
        <v>748</v>
      </c>
      <c r="E329" s="16" t="s">
        <v>373</v>
      </c>
      <c r="F329" s="19" t="s">
        <v>56</v>
      </c>
      <c r="G329" s="27">
        <v>12</v>
      </c>
      <c r="H329" s="26">
        <v>2842</v>
      </c>
      <c r="I329" s="26">
        <f t="shared" si="15"/>
        <v>34104</v>
      </c>
      <c r="V329" t="b">
        <f t="shared" si="16"/>
        <v>0</v>
      </c>
      <c r="X329" t="str">
        <f t="shared" si="17"/>
        <v>51.33.1768</v>
      </c>
    </row>
    <row r="330" spans="1:24" ht="57.6" x14ac:dyDescent="0.3">
      <c r="A330" s="19">
        <v>329</v>
      </c>
      <c r="B330" s="19">
        <v>1</v>
      </c>
      <c r="C330" s="18" t="s">
        <v>371</v>
      </c>
      <c r="D330" s="18" t="s">
        <v>749</v>
      </c>
      <c r="E330" s="16" t="s">
        <v>374</v>
      </c>
      <c r="F330" s="19" t="s">
        <v>56</v>
      </c>
      <c r="G330" s="27">
        <v>42</v>
      </c>
      <c r="H330" s="26">
        <v>7621</v>
      </c>
      <c r="I330" s="26">
        <f t="shared" si="15"/>
        <v>320082</v>
      </c>
      <c r="V330" t="b">
        <f t="shared" si="16"/>
        <v>0</v>
      </c>
      <c r="X330" t="str">
        <f t="shared" si="17"/>
        <v>51.33.2070</v>
      </c>
    </row>
    <row r="331" spans="1:24" ht="57.6" x14ac:dyDescent="0.3">
      <c r="A331" s="19">
        <v>330</v>
      </c>
      <c r="B331" s="19">
        <v>1</v>
      </c>
      <c r="C331" s="18" t="s">
        <v>367</v>
      </c>
      <c r="D331" s="18" t="s">
        <v>750</v>
      </c>
      <c r="E331" s="16" t="s">
        <v>375</v>
      </c>
      <c r="F331" s="19" t="s">
        <v>59</v>
      </c>
      <c r="G331" s="27">
        <v>3500</v>
      </c>
      <c r="H331" s="26">
        <v>184.8</v>
      </c>
      <c r="I331" s="26">
        <f t="shared" si="15"/>
        <v>646800</v>
      </c>
      <c r="V331" t="b">
        <f t="shared" si="16"/>
        <v>0</v>
      </c>
      <c r="X331" t="str">
        <f t="shared" si="17"/>
        <v>51.33.2130</v>
      </c>
    </row>
    <row r="332" spans="1:24" ht="72" x14ac:dyDescent="0.3">
      <c r="A332" s="19">
        <v>331</v>
      </c>
      <c r="B332" s="19">
        <v>1</v>
      </c>
      <c r="C332" s="18" t="s">
        <v>376</v>
      </c>
      <c r="D332" s="18" t="s">
        <v>751</v>
      </c>
      <c r="E332" s="16" t="s">
        <v>377</v>
      </c>
      <c r="F332" s="19" t="s">
        <v>59</v>
      </c>
      <c r="G332" s="27">
        <v>80</v>
      </c>
      <c r="H332" s="26">
        <v>427</v>
      </c>
      <c r="I332" s="26">
        <f t="shared" si="15"/>
        <v>34160</v>
      </c>
      <c r="V332" t="b">
        <f t="shared" si="16"/>
        <v>0</v>
      </c>
      <c r="X332" t="str">
        <f t="shared" si="17"/>
        <v>51.33.4006</v>
      </c>
    </row>
    <row r="333" spans="1:24" ht="43.2" x14ac:dyDescent="0.3">
      <c r="A333" s="19">
        <v>332</v>
      </c>
      <c r="B333" s="19">
        <v>1</v>
      </c>
      <c r="C333" s="18" t="s">
        <v>367</v>
      </c>
      <c r="D333" s="18" t="s">
        <v>752</v>
      </c>
      <c r="E333" s="16" t="s">
        <v>378</v>
      </c>
      <c r="F333" s="19" t="s">
        <v>59</v>
      </c>
      <c r="G333" s="27">
        <v>700</v>
      </c>
      <c r="H333" s="26">
        <v>277</v>
      </c>
      <c r="I333" s="26">
        <f t="shared" si="15"/>
        <v>193900</v>
      </c>
      <c r="V333" t="b">
        <f t="shared" si="16"/>
        <v>0</v>
      </c>
      <c r="X333" t="str">
        <f t="shared" si="17"/>
        <v>51.33.4012</v>
      </c>
    </row>
    <row r="334" spans="1:24" ht="43.2" x14ac:dyDescent="0.3">
      <c r="A334" s="19">
        <v>333</v>
      </c>
      <c r="B334" s="19">
        <v>1</v>
      </c>
      <c r="C334" s="18" t="s">
        <v>379</v>
      </c>
      <c r="D334" s="18" t="s">
        <v>753</v>
      </c>
      <c r="E334" s="16" t="s">
        <v>380</v>
      </c>
      <c r="F334" s="19" t="s">
        <v>59</v>
      </c>
      <c r="G334" s="27">
        <v>950</v>
      </c>
      <c r="H334" s="26">
        <v>110</v>
      </c>
      <c r="I334" s="26">
        <f t="shared" si="15"/>
        <v>104500</v>
      </c>
      <c r="V334" t="b">
        <f t="shared" si="16"/>
        <v>0</v>
      </c>
      <c r="X334" t="str">
        <f t="shared" si="17"/>
        <v>51.33.4303</v>
      </c>
    </row>
    <row r="335" spans="1:24" ht="28.8" x14ac:dyDescent="0.3">
      <c r="A335" s="19">
        <v>334</v>
      </c>
      <c r="B335" s="19">
        <v>1</v>
      </c>
      <c r="C335" s="18" t="s">
        <v>371</v>
      </c>
      <c r="D335" s="18" t="s">
        <v>754</v>
      </c>
      <c r="E335" s="16" t="s">
        <v>381</v>
      </c>
      <c r="F335" s="19" t="s">
        <v>56</v>
      </c>
      <c r="G335" s="27">
        <v>16000</v>
      </c>
      <c r="H335" s="26">
        <v>20</v>
      </c>
      <c r="I335" s="26">
        <f t="shared" si="15"/>
        <v>320000</v>
      </c>
      <c r="V335" t="b">
        <f t="shared" si="16"/>
        <v>0</v>
      </c>
      <c r="X335" t="str">
        <f t="shared" si="17"/>
        <v>51.34.0400</v>
      </c>
    </row>
    <row r="336" spans="1:24" ht="28.8" x14ac:dyDescent="0.3">
      <c r="A336" s="19">
        <v>335</v>
      </c>
      <c r="B336" s="19">
        <v>1</v>
      </c>
      <c r="C336" s="18" t="s">
        <v>382</v>
      </c>
      <c r="D336" s="18" t="s">
        <v>755</v>
      </c>
      <c r="E336" s="16" t="s">
        <v>383</v>
      </c>
      <c r="F336" s="19" t="s">
        <v>59</v>
      </c>
      <c r="G336" s="27">
        <v>1295</v>
      </c>
      <c r="H336" s="26">
        <v>340</v>
      </c>
      <c r="I336" s="26">
        <f t="shared" si="15"/>
        <v>440300</v>
      </c>
      <c r="V336" t="b">
        <f t="shared" si="16"/>
        <v>0</v>
      </c>
      <c r="X336" t="str">
        <f t="shared" si="17"/>
        <v>51.36.0140</v>
      </c>
    </row>
    <row r="337" spans="1:24" ht="28.8" x14ac:dyDescent="0.3">
      <c r="A337" s="19">
        <v>336</v>
      </c>
      <c r="B337" s="19">
        <v>1</v>
      </c>
      <c r="C337" s="18" t="s">
        <v>382</v>
      </c>
      <c r="D337" s="18" t="s">
        <v>756</v>
      </c>
      <c r="E337" s="16" t="s">
        <v>384</v>
      </c>
      <c r="F337" s="19" t="s">
        <v>59</v>
      </c>
      <c r="G337" s="27">
        <v>6805</v>
      </c>
      <c r="H337" s="26">
        <v>340</v>
      </c>
      <c r="I337" s="26">
        <f t="shared" si="15"/>
        <v>2313700</v>
      </c>
      <c r="V337" t="b">
        <f t="shared" si="16"/>
        <v>0</v>
      </c>
      <c r="X337" t="str">
        <f t="shared" si="17"/>
        <v>51.36.0160</v>
      </c>
    </row>
    <row r="338" spans="1:24" ht="43.2" x14ac:dyDescent="0.3">
      <c r="A338" s="19">
        <v>337</v>
      </c>
      <c r="B338" s="19">
        <v>1</v>
      </c>
      <c r="C338" s="18" t="s">
        <v>382</v>
      </c>
      <c r="D338" s="18" t="s">
        <v>757</v>
      </c>
      <c r="E338" s="16" t="s">
        <v>385</v>
      </c>
      <c r="F338" s="19" t="s">
        <v>59</v>
      </c>
      <c r="G338" s="27">
        <v>775</v>
      </c>
      <c r="H338" s="26">
        <v>339</v>
      </c>
      <c r="I338" s="26">
        <f t="shared" si="15"/>
        <v>262725</v>
      </c>
      <c r="V338" t="b">
        <f t="shared" si="16"/>
        <v>0</v>
      </c>
      <c r="X338" t="str">
        <f t="shared" si="17"/>
        <v>51.36.0200</v>
      </c>
    </row>
    <row r="339" spans="1:24" ht="28.8" x14ac:dyDescent="0.3">
      <c r="A339" s="19">
        <v>338</v>
      </c>
      <c r="B339" s="19">
        <v>1</v>
      </c>
      <c r="C339" s="18" t="s">
        <v>386</v>
      </c>
      <c r="D339" s="18" t="s">
        <v>758</v>
      </c>
      <c r="E339" s="16" t="s">
        <v>387</v>
      </c>
      <c r="F339" s="19" t="s">
        <v>56</v>
      </c>
      <c r="G339" s="27">
        <v>3</v>
      </c>
      <c r="H339" s="26">
        <v>57000</v>
      </c>
      <c r="I339" s="26">
        <f t="shared" si="15"/>
        <v>171000</v>
      </c>
      <c r="V339" t="b">
        <f t="shared" si="16"/>
        <v>0</v>
      </c>
      <c r="X339" t="str">
        <f t="shared" si="17"/>
        <v>51.37.0115</v>
      </c>
    </row>
    <row r="340" spans="1:24" ht="28.8" x14ac:dyDescent="0.3">
      <c r="A340" s="19">
        <v>339</v>
      </c>
      <c r="B340" s="19">
        <v>1</v>
      </c>
      <c r="C340" s="18" t="s">
        <v>386</v>
      </c>
      <c r="D340" s="18" t="s">
        <v>759</v>
      </c>
      <c r="E340" s="16" t="s">
        <v>388</v>
      </c>
      <c r="F340" s="19" t="s">
        <v>56</v>
      </c>
      <c r="G340" s="27">
        <v>11</v>
      </c>
      <c r="H340" s="26">
        <v>25600</v>
      </c>
      <c r="I340" s="26">
        <f t="shared" si="15"/>
        <v>281600</v>
      </c>
      <c r="V340" t="b">
        <f t="shared" si="16"/>
        <v>0</v>
      </c>
      <c r="X340" t="str">
        <f t="shared" si="17"/>
        <v>51.37.0920</v>
      </c>
    </row>
    <row r="341" spans="1:24" ht="28.8" x14ac:dyDescent="0.3">
      <c r="A341" s="19">
        <v>340</v>
      </c>
      <c r="B341" s="19">
        <v>1</v>
      </c>
      <c r="C341" s="18" t="s">
        <v>195</v>
      </c>
      <c r="D341" s="18" t="s">
        <v>760</v>
      </c>
      <c r="E341" s="16" t="s">
        <v>389</v>
      </c>
      <c r="F341" s="19" t="s">
        <v>56</v>
      </c>
      <c r="G341" s="27">
        <v>4</v>
      </c>
      <c r="H341" s="26">
        <v>2810</v>
      </c>
      <c r="I341" s="26">
        <f t="shared" si="15"/>
        <v>11240</v>
      </c>
      <c r="V341" t="b">
        <f t="shared" si="16"/>
        <v>0</v>
      </c>
      <c r="X341" t="str">
        <f t="shared" si="17"/>
        <v>51.37.5002</v>
      </c>
    </row>
    <row r="342" spans="1:24" ht="72" x14ac:dyDescent="0.3">
      <c r="A342" s="19">
        <v>341</v>
      </c>
      <c r="B342" s="19">
        <v>1</v>
      </c>
      <c r="C342" s="18" t="s">
        <v>390</v>
      </c>
      <c r="D342" s="18" t="s">
        <v>761</v>
      </c>
      <c r="E342" s="16" t="s">
        <v>391</v>
      </c>
      <c r="F342" s="19" t="s">
        <v>59</v>
      </c>
      <c r="G342" s="27">
        <v>25</v>
      </c>
      <c r="H342" s="26">
        <v>365</v>
      </c>
      <c r="I342" s="26">
        <f t="shared" si="15"/>
        <v>9125</v>
      </c>
      <c r="V342" t="b">
        <f t="shared" si="16"/>
        <v>0</v>
      </c>
      <c r="X342" t="str">
        <f t="shared" si="17"/>
        <v>57.02.0269</v>
      </c>
    </row>
    <row r="343" spans="1:24" ht="57.6" x14ac:dyDescent="0.3">
      <c r="A343" s="19">
        <v>342</v>
      </c>
      <c r="B343" s="19">
        <v>1</v>
      </c>
      <c r="C343" s="18" t="s">
        <v>390</v>
      </c>
      <c r="D343" s="18" t="s">
        <v>762</v>
      </c>
      <c r="E343" s="16" t="s">
        <v>392</v>
      </c>
      <c r="F343" s="19" t="s">
        <v>59</v>
      </c>
      <c r="G343" s="27">
        <v>635</v>
      </c>
      <c r="H343" s="26">
        <v>420</v>
      </c>
      <c r="I343" s="26">
        <f t="shared" si="15"/>
        <v>266700</v>
      </c>
      <c r="V343" t="b">
        <f t="shared" si="16"/>
        <v>0</v>
      </c>
      <c r="X343" t="str">
        <f t="shared" si="17"/>
        <v>57.02.0325</v>
      </c>
    </row>
    <row r="344" spans="1:24" ht="43.2" x14ac:dyDescent="0.3">
      <c r="A344" s="19">
        <v>343</v>
      </c>
      <c r="B344" s="19">
        <v>1</v>
      </c>
      <c r="C344" s="18" t="s">
        <v>390</v>
      </c>
      <c r="D344" s="18" t="s">
        <v>763</v>
      </c>
      <c r="E344" s="16" t="s">
        <v>393</v>
      </c>
      <c r="F344" s="31" t="s">
        <v>419</v>
      </c>
      <c r="G344" s="27">
        <v>48</v>
      </c>
      <c r="H344" s="26">
        <v>2115</v>
      </c>
      <c r="I344" s="26">
        <f t="shared" si="15"/>
        <v>101520</v>
      </c>
      <c r="V344" t="b">
        <f t="shared" si="16"/>
        <v>0</v>
      </c>
      <c r="X344" t="str">
        <f t="shared" si="17"/>
        <v>57.02.1334</v>
      </c>
    </row>
    <row r="345" spans="1:24" ht="28.8" x14ac:dyDescent="0.3">
      <c r="A345" s="19">
        <v>344</v>
      </c>
      <c r="B345" s="19">
        <v>1</v>
      </c>
      <c r="C345" s="18" t="s">
        <v>390</v>
      </c>
      <c r="D345" s="18" t="s">
        <v>764</v>
      </c>
      <c r="E345" s="16" t="s">
        <v>394</v>
      </c>
      <c r="F345" s="19" t="s">
        <v>56</v>
      </c>
      <c r="G345" s="27">
        <v>24</v>
      </c>
      <c r="H345" s="26">
        <v>568</v>
      </c>
      <c r="I345" s="26">
        <f t="shared" si="15"/>
        <v>13632</v>
      </c>
      <c r="V345" t="b">
        <f t="shared" si="16"/>
        <v>0</v>
      </c>
      <c r="X345" t="str">
        <f t="shared" si="17"/>
        <v>57.02.1740</v>
      </c>
    </row>
    <row r="346" spans="1:24" ht="43.2" x14ac:dyDescent="0.3">
      <c r="A346" s="19">
        <v>345</v>
      </c>
      <c r="B346" s="19">
        <v>1</v>
      </c>
      <c r="C346" s="18" t="s">
        <v>390</v>
      </c>
      <c r="D346" s="18" t="s">
        <v>765</v>
      </c>
      <c r="E346" s="16" t="s">
        <v>395</v>
      </c>
      <c r="F346" s="19" t="s">
        <v>59</v>
      </c>
      <c r="G346" s="27">
        <v>440</v>
      </c>
      <c r="H346" s="26">
        <v>154</v>
      </c>
      <c r="I346" s="26">
        <f t="shared" si="15"/>
        <v>67760</v>
      </c>
      <c r="V346" t="b">
        <f t="shared" si="16"/>
        <v>0</v>
      </c>
      <c r="X346" t="str">
        <f t="shared" si="17"/>
        <v>57.02.2208</v>
      </c>
    </row>
    <row r="347" spans="1:24" ht="43.2" x14ac:dyDescent="0.3">
      <c r="A347" s="19">
        <v>346</v>
      </c>
      <c r="B347" s="19">
        <v>1</v>
      </c>
      <c r="C347" s="18" t="s">
        <v>390</v>
      </c>
      <c r="D347" s="18" t="s">
        <v>766</v>
      </c>
      <c r="E347" s="16" t="s">
        <v>396</v>
      </c>
      <c r="F347" s="19" t="s">
        <v>59</v>
      </c>
      <c r="G347" s="27">
        <v>10660</v>
      </c>
      <c r="H347" s="26">
        <v>220</v>
      </c>
      <c r="I347" s="26">
        <f t="shared" si="15"/>
        <v>2345200</v>
      </c>
      <c r="V347" t="b">
        <f t="shared" si="16"/>
        <v>0</v>
      </c>
      <c r="X347" t="str">
        <f t="shared" si="17"/>
        <v>57.02.2210</v>
      </c>
    </row>
    <row r="348" spans="1:24" ht="72" x14ac:dyDescent="0.3">
      <c r="A348" s="19">
        <v>347</v>
      </c>
      <c r="B348" s="19">
        <v>1</v>
      </c>
      <c r="C348" s="18" t="s">
        <v>390</v>
      </c>
      <c r="D348" s="18" t="s">
        <v>767</v>
      </c>
      <c r="E348" s="16" t="s">
        <v>397</v>
      </c>
      <c r="F348" s="31" t="s">
        <v>419</v>
      </c>
      <c r="G348" s="27">
        <v>3</v>
      </c>
      <c r="H348" s="26">
        <v>1500</v>
      </c>
      <c r="I348" s="26">
        <f t="shared" si="15"/>
        <v>4500</v>
      </c>
      <c r="V348" t="b">
        <f t="shared" si="16"/>
        <v>0</v>
      </c>
      <c r="X348" t="str">
        <f t="shared" si="17"/>
        <v>57.02.3305</v>
      </c>
    </row>
    <row r="349" spans="1:24" ht="72" x14ac:dyDescent="0.3">
      <c r="A349" s="19">
        <v>348</v>
      </c>
      <c r="B349" s="19">
        <v>1</v>
      </c>
      <c r="C349" s="18" t="s">
        <v>390</v>
      </c>
      <c r="D349" s="18" t="s">
        <v>768</v>
      </c>
      <c r="E349" s="16" t="s">
        <v>398</v>
      </c>
      <c r="F349" s="31" t="s">
        <v>419</v>
      </c>
      <c r="G349" s="27">
        <v>9</v>
      </c>
      <c r="H349" s="26">
        <v>2500</v>
      </c>
      <c r="I349" s="26">
        <f t="shared" si="15"/>
        <v>22500</v>
      </c>
      <c r="V349" t="b">
        <f t="shared" si="16"/>
        <v>0</v>
      </c>
      <c r="X349" t="str">
        <f t="shared" si="17"/>
        <v>57.02.3308</v>
      </c>
    </row>
    <row r="350" spans="1:24" ht="28.8" x14ac:dyDescent="0.3">
      <c r="A350" s="19">
        <v>349</v>
      </c>
      <c r="B350" s="19">
        <v>1</v>
      </c>
      <c r="C350" s="18" t="s">
        <v>390</v>
      </c>
      <c r="D350" s="18" t="s">
        <v>769</v>
      </c>
      <c r="E350" s="16" t="s">
        <v>399</v>
      </c>
      <c r="F350" s="31" t="s">
        <v>419</v>
      </c>
      <c r="G350" s="27">
        <v>24</v>
      </c>
      <c r="H350" s="26">
        <v>750</v>
      </c>
      <c r="I350" s="26">
        <f t="shared" si="15"/>
        <v>18000</v>
      </c>
      <c r="V350" t="b">
        <f t="shared" si="16"/>
        <v>0</v>
      </c>
      <c r="X350" t="str">
        <f t="shared" si="17"/>
        <v>57.02.3345</v>
      </c>
    </row>
    <row r="351" spans="1:24" ht="43.2" x14ac:dyDescent="0.3">
      <c r="A351" s="19">
        <v>350</v>
      </c>
      <c r="B351" s="19">
        <v>1</v>
      </c>
      <c r="C351" s="18" t="s">
        <v>390</v>
      </c>
      <c r="D351" s="18" t="s">
        <v>770</v>
      </c>
      <c r="E351" s="16" t="s">
        <v>400</v>
      </c>
      <c r="F351" s="31" t="s">
        <v>419</v>
      </c>
      <c r="G351" s="27">
        <v>57</v>
      </c>
      <c r="H351" s="26">
        <v>1413</v>
      </c>
      <c r="I351" s="26">
        <f t="shared" si="15"/>
        <v>80541</v>
      </c>
      <c r="V351" t="b">
        <f t="shared" si="16"/>
        <v>0</v>
      </c>
      <c r="X351" t="str">
        <f t="shared" si="17"/>
        <v>57.02.3854</v>
      </c>
    </row>
    <row r="352" spans="1:24" ht="43.2" x14ac:dyDescent="0.3">
      <c r="A352" s="19">
        <v>351</v>
      </c>
      <c r="B352" s="19">
        <v>1</v>
      </c>
      <c r="C352" s="18" t="s">
        <v>390</v>
      </c>
      <c r="D352" s="18" t="s">
        <v>771</v>
      </c>
      <c r="E352" s="16" t="s">
        <v>401</v>
      </c>
      <c r="F352" s="31" t="s">
        <v>419</v>
      </c>
      <c r="G352" s="27">
        <v>12</v>
      </c>
      <c r="H352" s="26">
        <v>2250</v>
      </c>
      <c r="I352" s="26">
        <f t="shared" si="15"/>
        <v>27000</v>
      </c>
      <c r="V352" t="b">
        <f t="shared" si="16"/>
        <v>0</v>
      </c>
      <c r="X352" t="str">
        <f t="shared" si="17"/>
        <v>57.02.4102</v>
      </c>
    </row>
    <row r="353" spans="1:24" ht="43.2" x14ac:dyDescent="0.3">
      <c r="A353" s="19">
        <v>352</v>
      </c>
      <c r="B353" s="19">
        <v>1</v>
      </c>
      <c r="C353" s="18" t="s">
        <v>390</v>
      </c>
      <c r="D353" s="18" t="s">
        <v>772</v>
      </c>
      <c r="E353" s="16" t="s">
        <v>402</v>
      </c>
      <c r="F353" s="19" t="s">
        <v>56</v>
      </c>
      <c r="G353" s="27">
        <v>54</v>
      </c>
      <c r="H353" s="26">
        <v>1329</v>
      </c>
      <c r="I353" s="26">
        <f t="shared" si="15"/>
        <v>71766</v>
      </c>
      <c r="V353" t="b">
        <f t="shared" si="16"/>
        <v>0</v>
      </c>
      <c r="X353" t="str">
        <f t="shared" si="17"/>
        <v>57.02.4352</v>
      </c>
    </row>
    <row r="354" spans="1:24" x14ac:dyDescent="0.3">
      <c r="A354" s="19">
        <v>353</v>
      </c>
      <c r="B354" s="19">
        <v>1</v>
      </c>
      <c r="C354" s="18" t="s">
        <v>390</v>
      </c>
      <c r="D354" s="18" t="s">
        <v>773</v>
      </c>
      <c r="E354" s="16" t="s">
        <v>403</v>
      </c>
      <c r="F354" s="19" t="s">
        <v>56</v>
      </c>
      <c r="G354" s="27">
        <v>12</v>
      </c>
      <c r="H354" s="26">
        <v>1275</v>
      </c>
      <c r="I354" s="26">
        <f t="shared" si="15"/>
        <v>15300</v>
      </c>
      <c r="V354" t="b">
        <f t="shared" si="16"/>
        <v>0</v>
      </c>
      <c r="X354" t="str">
        <f t="shared" si="17"/>
        <v>57.02.4554</v>
      </c>
    </row>
    <row r="355" spans="1:24" ht="86.4" x14ac:dyDescent="0.3">
      <c r="A355" s="19">
        <v>354</v>
      </c>
      <c r="B355" s="19">
        <v>1</v>
      </c>
      <c r="C355" s="18" t="s">
        <v>390</v>
      </c>
      <c r="D355" s="18" t="s">
        <v>774</v>
      </c>
      <c r="E355" s="16" t="s">
        <v>404</v>
      </c>
      <c r="F355" s="31" t="s">
        <v>419</v>
      </c>
      <c r="G355" s="27">
        <v>42</v>
      </c>
      <c r="H355" s="26">
        <v>1827</v>
      </c>
      <c r="I355" s="26">
        <f t="shared" si="15"/>
        <v>76734</v>
      </c>
      <c r="V355" t="b">
        <f t="shared" si="16"/>
        <v>0</v>
      </c>
      <c r="X355" t="str">
        <f t="shared" si="17"/>
        <v>57.02.4904</v>
      </c>
    </row>
    <row r="356" spans="1:24" ht="28.8" x14ac:dyDescent="0.3">
      <c r="A356" s="19">
        <v>355</v>
      </c>
      <c r="B356" s="19">
        <v>1</v>
      </c>
      <c r="C356" s="18" t="s">
        <v>390</v>
      </c>
      <c r="D356" s="18" t="s">
        <v>775</v>
      </c>
      <c r="E356" s="16" t="s">
        <v>405</v>
      </c>
      <c r="F356" s="19" t="s">
        <v>56</v>
      </c>
      <c r="G356" s="27">
        <v>12</v>
      </c>
      <c r="H356" s="26">
        <v>1275</v>
      </c>
      <c r="I356" s="26">
        <f t="shared" si="15"/>
        <v>15300</v>
      </c>
      <c r="V356" t="b">
        <f t="shared" si="16"/>
        <v>0</v>
      </c>
      <c r="X356" t="str">
        <f t="shared" si="17"/>
        <v>57.02.4972</v>
      </c>
    </row>
    <row r="357" spans="1:24" ht="43.2" x14ac:dyDescent="0.3">
      <c r="A357" s="19">
        <v>356</v>
      </c>
      <c r="B357" s="19">
        <v>1</v>
      </c>
      <c r="C357" s="18" t="s">
        <v>390</v>
      </c>
      <c r="D357" s="18" t="s">
        <v>776</v>
      </c>
      <c r="E357" s="16" t="s">
        <v>406</v>
      </c>
      <c r="F357" s="31" t="s">
        <v>419</v>
      </c>
      <c r="G357" s="27">
        <v>12</v>
      </c>
      <c r="H357" s="26">
        <v>1755</v>
      </c>
      <c r="I357" s="26">
        <f t="shared" si="15"/>
        <v>21060</v>
      </c>
      <c r="V357" t="b">
        <f t="shared" si="16"/>
        <v>0</v>
      </c>
      <c r="X357" t="str">
        <f t="shared" si="17"/>
        <v>57.02.5054</v>
      </c>
    </row>
    <row r="358" spans="1:24" ht="43.2" x14ac:dyDescent="0.3">
      <c r="A358" s="19">
        <v>357</v>
      </c>
      <c r="B358" s="19">
        <v>1</v>
      </c>
      <c r="C358" s="18" t="s">
        <v>407</v>
      </c>
      <c r="D358" s="18" t="s">
        <v>777</v>
      </c>
      <c r="E358" s="16" t="s">
        <v>408</v>
      </c>
      <c r="F358" s="19" t="s">
        <v>59</v>
      </c>
      <c r="G358" s="27">
        <v>2000</v>
      </c>
      <c r="H358" s="26">
        <v>206.8</v>
      </c>
      <c r="I358" s="26">
        <f t="shared" si="15"/>
        <v>413600</v>
      </c>
      <c r="V358" t="b">
        <f t="shared" si="16"/>
        <v>0</v>
      </c>
      <c r="X358" t="str">
        <f t="shared" si="17"/>
        <v>57.03.1030</v>
      </c>
    </row>
    <row r="359" spans="1:24" ht="72" x14ac:dyDescent="0.3">
      <c r="A359" s="19">
        <v>358</v>
      </c>
      <c r="B359" s="19">
        <v>1</v>
      </c>
      <c r="C359" s="18" t="s">
        <v>407</v>
      </c>
      <c r="D359" s="18" t="s">
        <v>778</v>
      </c>
      <c r="E359" s="16" t="s">
        <v>409</v>
      </c>
      <c r="F359" s="19" t="s">
        <v>59</v>
      </c>
      <c r="G359" s="27">
        <v>660</v>
      </c>
      <c r="H359" s="26">
        <v>920</v>
      </c>
      <c r="I359" s="26">
        <f t="shared" si="15"/>
        <v>607200</v>
      </c>
      <c r="V359" t="b">
        <f t="shared" si="16"/>
        <v>0</v>
      </c>
      <c r="X359" t="str">
        <f t="shared" si="17"/>
        <v>57.03.5210</v>
      </c>
    </row>
    <row r="360" spans="1:24" ht="43.2" x14ac:dyDescent="0.3">
      <c r="A360" s="19">
        <v>359</v>
      </c>
      <c r="B360" s="19">
        <v>1</v>
      </c>
      <c r="C360" s="18" t="s">
        <v>407</v>
      </c>
      <c r="D360" s="18" t="s">
        <v>779</v>
      </c>
      <c r="E360" s="16" t="s">
        <v>410</v>
      </c>
      <c r="F360" s="19" t="s">
        <v>59</v>
      </c>
      <c r="G360" s="27">
        <v>660</v>
      </c>
      <c r="H360" s="26">
        <v>224</v>
      </c>
      <c r="I360" s="26">
        <f t="shared" si="15"/>
        <v>147840</v>
      </c>
      <c r="V360" t="b">
        <f t="shared" si="16"/>
        <v>0</v>
      </c>
      <c r="X360" t="str">
        <f t="shared" si="17"/>
        <v>57.03.5600</v>
      </c>
    </row>
    <row r="361" spans="1:24" ht="43.2" x14ac:dyDescent="0.3">
      <c r="A361" s="19">
        <v>360</v>
      </c>
      <c r="B361" s="19">
        <v>1</v>
      </c>
      <c r="C361" s="18" t="s">
        <v>411</v>
      </c>
      <c r="D361" s="18" t="s">
        <v>780</v>
      </c>
      <c r="E361" s="16" t="s">
        <v>412</v>
      </c>
      <c r="F361" s="19" t="s">
        <v>56</v>
      </c>
      <c r="G361" s="27">
        <v>5</v>
      </c>
      <c r="H361" s="26">
        <v>16960</v>
      </c>
      <c r="I361" s="26">
        <f t="shared" si="15"/>
        <v>84800</v>
      </c>
      <c r="V361" t="b">
        <f t="shared" si="16"/>
        <v>0</v>
      </c>
      <c r="X361" t="str">
        <f t="shared" si="17"/>
        <v>60.01.0020</v>
      </c>
    </row>
    <row r="362" spans="1:24" ht="28.8" x14ac:dyDescent="0.3">
      <c r="A362" s="19">
        <v>361</v>
      </c>
      <c r="B362" s="19">
        <v>1</v>
      </c>
      <c r="C362" s="18" t="s">
        <v>413</v>
      </c>
      <c r="D362" s="18" t="s">
        <v>781</v>
      </c>
      <c r="E362" s="16" t="s">
        <v>414</v>
      </c>
      <c r="F362" s="19" t="s">
        <v>27</v>
      </c>
      <c r="G362" s="27">
        <v>24</v>
      </c>
      <c r="H362" s="26">
        <v>120000</v>
      </c>
      <c r="I362" s="26">
        <f t="shared" si="15"/>
        <v>2880000</v>
      </c>
      <c r="V362" t="b">
        <f t="shared" si="16"/>
        <v>0</v>
      </c>
      <c r="X362" t="str">
        <f t="shared" si="17"/>
        <v>60.01.9577</v>
      </c>
    </row>
    <row r="363" spans="1:24" ht="28.8" x14ac:dyDescent="0.3">
      <c r="A363" s="19">
        <v>362</v>
      </c>
      <c r="B363" s="19">
        <v>1</v>
      </c>
      <c r="C363" s="18" t="s">
        <v>415</v>
      </c>
      <c r="D363" s="18" t="s">
        <v>782</v>
      </c>
      <c r="E363" s="16" t="s">
        <v>416</v>
      </c>
      <c r="F363" s="31" t="s">
        <v>419</v>
      </c>
      <c r="G363" s="27">
        <v>600000</v>
      </c>
      <c r="H363" s="26">
        <v>1</v>
      </c>
      <c r="I363" s="26">
        <f t="shared" si="15"/>
        <v>600000</v>
      </c>
      <c r="V363" t="b">
        <f t="shared" si="16"/>
        <v>0</v>
      </c>
      <c r="X363" t="str">
        <f t="shared" si="17"/>
        <v>60.01.0604</v>
      </c>
    </row>
    <row r="364" spans="1:24" ht="28.8" x14ac:dyDescent="0.3">
      <c r="A364" s="19">
        <v>363</v>
      </c>
      <c r="B364" s="19">
        <v>1</v>
      </c>
      <c r="C364" s="18" t="s">
        <v>415</v>
      </c>
      <c r="D364" s="18" t="s">
        <v>783</v>
      </c>
      <c r="E364" s="16" t="s">
        <v>417</v>
      </c>
      <c r="F364" s="31" t="s">
        <v>419</v>
      </c>
      <c r="G364" s="27">
        <v>900000</v>
      </c>
      <c r="H364" s="26">
        <v>1</v>
      </c>
      <c r="I364" s="26">
        <f t="shared" si="15"/>
        <v>900000</v>
      </c>
      <c r="V364" t="b">
        <f t="shared" si="16"/>
        <v>0</v>
      </c>
      <c r="X364" t="str">
        <f t="shared" si="17"/>
        <v>60.01.0606</v>
      </c>
    </row>
    <row r="365" spans="1:24" ht="28.8" x14ac:dyDescent="0.3">
      <c r="A365" s="19">
        <v>364</v>
      </c>
      <c r="B365" s="19">
        <v>1</v>
      </c>
      <c r="C365" s="18" t="s">
        <v>415</v>
      </c>
      <c r="D365" s="18" t="s">
        <v>784</v>
      </c>
      <c r="E365" s="16" t="s">
        <v>418</v>
      </c>
      <c r="F365" s="19" t="s">
        <v>27</v>
      </c>
      <c r="G365" s="27">
        <v>41</v>
      </c>
      <c r="H365" s="26">
        <v>602592.68000000005</v>
      </c>
      <c r="I365" s="26">
        <f>H365*G365</f>
        <v>24706299.880000003</v>
      </c>
      <c r="V365" t="b">
        <f t="shared" si="16"/>
        <v>0</v>
      </c>
      <c r="X365" t="str">
        <f t="shared" si="17"/>
        <v>60.01.0030</v>
      </c>
    </row>
    <row r="367" spans="1:24" x14ac:dyDescent="0.3">
      <c r="I367" s="29">
        <f>SUM(I2:I366)</f>
        <v>221412875.4165</v>
      </c>
    </row>
  </sheetData>
  <protectedRanges>
    <protectedRange sqref="G7:G57 G2:G5" name="Price_3_1_1_1"/>
    <protectedRange sqref="G6" name="Price_3_2_1_1"/>
  </protectedRanges>
  <autoFilter ref="A1:V3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Ares</dc:creator>
  <cp:lastModifiedBy>user</cp:lastModifiedBy>
  <dcterms:created xsi:type="dcterms:W3CDTF">2025-08-04T11:35:37Z</dcterms:created>
  <dcterms:modified xsi:type="dcterms:W3CDTF">2026-03-23T15:31:22Z</dcterms:modified>
</cp:coreProperties>
</file>